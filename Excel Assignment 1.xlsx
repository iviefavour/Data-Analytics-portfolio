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\Excel\"/>
    </mc:Choice>
  </mc:AlternateContent>
  <xr:revisionPtr revIDLastSave="0" documentId="13_ncr:1_{92F8AA22-FF01-4767-B119-CEAD63EB9514}" xr6:coauthVersionLast="47" xr6:coauthVersionMax="47" xr10:uidLastSave="{00000000-0000-0000-0000-000000000000}"/>
  <bookViews>
    <workbookView xWindow="-110" yWindow="-110" windowWidth="25820" windowHeight="13900" activeTab="3" xr2:uid="{58CC8B5B-E358-45E0-8C9D-4488C91CB25F}"/>
  </bookViews>
  <sheets>
    <sheet name="Conditional Formatting" sheetId="8" r:id="rId1"/>
    <sheet name="Sum,Average &amp; Count" sheetId="3" r:id="rId2"/>
    <sheet name="Relative Referencing" sheetId="4" r:id="rId3"/>
    <sheet name="Absolute Referencing" sheetId="5" r:id="rId4"/>
    <sheet name="Mixed Referencing" sheetId="6" r:id="rId5"/>
    <sheet name="Structural Referencing 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5" l="1"/>
  <c r="D9" i="5"/>
  <c r="D10" i="5"/>
  <c r="D11" i="5"/>
  <c r="D7" i="5"/>
  <c r="F13" i="7"/>
  <c r="F12" i="7"/>
  <c r="L2" i="3"/>
  <c r="M2" i="3"/>
  <c r="K3" i="3"/>
  <c r="K4" i="3"/>
  <c r="K5" i="3"/>
  <c r="K6" i="3"/>
  <c r="K7" i="3"/>
  <c r="K8" i="3"/>
  <c r="K9" i="3"/>
  <c r="K10" i="3"/>
  <c r="K11" i="3"/>
  <c r="K2" i="3"/>
  <c r="J2" i="3"/>
  <c r="I2" i="3"/>
  <c r="D7" i="4"/>
  <c r="D14" i="6"/>
  <c r="D13" i="6"/>
  <c r="D12" i="6"/>
  <c r="D11" i="6"/>
  <c r="D10" i="6"/>
  <c r="D9" i="6"/>
  <c r="D8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E6" i="6"/>
  <c r="D6" i="6"/>
  <c r="D4" i="7"/>
  <c r="D5" i="7"/>
  <c r="D6" i="7"/>
  <c r="D7" i="7"/>
  <c r="D8" i="7"/>
  <c r="D9" i="7"/>
  <c r="D10" i="7"/>
  <c r="D8" i="4"/>
  <c r="D9" i="4"/>
  <c r="D10" i="4"/>
  <c r="D11" i="4"/>
  <c r="D12" i="4"/>
  <c r="D13" i="4"/>
  <c r="H3" i="3"/>
  <c r="H4" i="3"/>
  <c r="H5" i="3"/>
  <c r="H6" i="3"/>
  <c r="H7" i="3"/>
  <c r="H8" i="3"/>
  <c r="H9" i="3"/>
  <c r="H10" i="3"/>
  <c r="H11" i="3"/>
  <c r="H2" i="3"/>
  <c r="G9" i="3"/>
  <c r="G10" i="3"/>
  <c r="G11" i="3"/>
  <c r="G3" i="3"/>
  <c r="G4" i="3"/>
  <c r="G5" i="3"/>
  <c r="G6" i="3"/>
  <c r="G7" i="3"/>
  <c r="G8" i="3"/>
  <c r="G2" i="3"/>
  <c r="F3" i="3"/>
  <c r="F4" i="3"/>
  <c r="F5" i="3"/>
  <c r="F6" i="3"/>
  <c r="F7" i="3"/>
  <c r="F8" i="3"/>
  <c r="F9" i="3"/>
  <c r="F10" i="3"/>
  <c r="F11" i="3"/>
  <c r="F2" i="3"/>
  <c r="S68" i="8"/>
  <c r="L68" i="8"/>
  <c r="S67" i="8"/>
  <c r="L67" i="8"/>
  <c r="S66" i="8"/>
  <c r="L66" i="8"/>
  <c r="S65" i="8"/>
  <c r="L65" i="8"/>
  <c r="S64" i="8"/>
  <c r="L64" i="8"/>
  <c r="S63" i="8"/>
  <c r="L63" i="8"/>
  <c r="S62" i="8"/>
  <c r="L62" i="8"/>
  <c r="S61" i="8"/>
  <c r="L61" i="8"/>
  <c r="S60" i="8"/>
  <c r="L60" i="8"/>
  <c r="S59" i="8"/>
  <c r="L59" i="8"/>
  <c r="S53" i="8"/>
  <c r="S52" i="8"/>
  <c r="S51" i="8"/>
  <c r="S50" i="8"/>
  <c r="S49" i="8"/>
  <c r="S48" i="8"/>
  <c r="S47" i="8"/>
  <c r="S46" i="8"/>
  <c r="S45" i="8"/>
  <c r="S44" i="8"/>
  <c r="S38" i="8"/>
  <c r="S37" i="8"/>
  <c r="S36" i="8"/>
  <c r="S35" i="8"/>
  <c r="S34" i="8"/>
  <c r="S33" i="8"/>
  <c r="S32" i="8"/>
  <c r="S31" i="8"/>
  <c r="S30" i="8"/>
  <c r="L53" i="8"/>
  <c r="L52" i="8"/>
  <c r="L51" i="8"/>
  <c r="L50" i="8"/>
  <c r="L49" i="8"/>
  <c r="L48" i="8"/>
  <c r="L47" i="8"/>
  <c r="L46" i="8"/>
  <c r="L45" i="8"/>
  <c r="L44" i="8"/>
  <c r="L38" i="8"/>
  <c r="L37" i="8"/>
  <c r="L36" i="8"/>
  <c r="L35" i="8"/>
  <c r="L34" i="8"/>
  <c r="L33" i="8"/>
  <c r="L32" i="8"/>
  <c r="L31" i="8"/>
  <c r="L30" i="8"/>
</calcChain>
</file>

<file path=xl/sharedStrings.xml><?xml version="1.0" encoding="utf-8"?>
<sst xmlns="http://schemas.openxmlformats.org/spreadsheetml/2006/main" count="163" uniqueCount="68">
  <si>
    <t>Math</t>
  </si>
  <si>
    <t>John</t>
  </si>
  <si>
    <t>English</t>
  </si>
  <si>
    <t>Science</t>
  </si>
  <si>
    <t>Lang</t>
  </si>
  <si>
    <t>Social</t>
  </si>
  <si>
    <t>Total</t>
  </si>
  <si>
    <t>Avg</t>
  </si>
  <si>
    <t>Position</t>
  </si>
  <si>
    <t>RELATIVE REFERENCING</t>
  </si>
  <si>
    <t xml:space="preserve">PRODUCT  </t>
  </si>
  <si>
    <t>QUANTITY</t>
  </si>
  <si>
    <t>PRICE</t>
  </si>
  <si>
    <t>TOTAL SALES</t>
  </si>
  <si>
    <t>Crocin</t>
  </si>
  <si>
    <t>Dolo</t>
  </si>
  <si>
    <t>Calpol</t>
  </si>
  <si>
    <t>Pacimol</t>
  </si>
  <si>
    <t>Sumo</t>
  </si>
  <si>
    <t>Fepanil</t>
  </si>
  <si>
    <t>Pyrigesic</t>
  </si>
  <si>
    <t>ABSOLUTE REFERENCING</t>
  </si>
  <si>
    <t>Percentage rate increase 10%</t>
  </si>
  <si>
    <t>PRODUCT</t>
  </si>
  <si>
    <t>OLD PRINCE</t>
  </si>
  <si>
    <t>NEW PRICE</t>
  </si>
  <si>
    <t>MIXED        REFERENCING</t>
  </si>
  <si>
    <t>MULTIPLICATION TABLE</t>
  </si>
  <si>
    <t>Mixed referencing is the combination of absolute referencing and relative refrencing</t>
  </si>
  <si>
    <t>STRUCTURAL REFERENCING</t>
  </si>
  <si>
    <t>Note: Name ranges and structured referencing are the same thing</t>
  </si>
  <si>
    <t>QUANTITY SOLD</t>
  </si>
  <si>
    <t>(a)</t>
  </si>
  <si>
    <t>(b)</t>
  </si>
  <si>
    <t>Determine the average Unit Price using named ranges</t>
  </si>
  <si>
    <t>Conditional Formatting</t>
  </si>
  <si>
    <t>Number greater than 30</t>
  </si>
  <si>
    <t xml:space="preserve">Numbers less than 40 </t>
  </si>
  <si>
    <t>Duplicate values</t>
  </si>
  <si>
    <t>Unique Value</t>
  </si>
  <si>
    <t>Number between 40 and 60</t>
  </si>
  <si>
    <t xml:space="preserve"> Numbers equall to 44   and  Icon set</t>
  </si>
  <si>
    <t>Average</t>
  </si>
  <si>
    <t>Applying Data Bar</t>
  </si>
  <si>
    <t>Top 3 Values</t>
  </si>
  <si>
    <t>Solid fill Data Bar</t>
  </si>
  <si>
    <t>Bottom 10 items</t>
  </si>
  <si>
    <t>and color fill</t>
  </si>
  <si>
    <t>Alen</t>
  </si>
  <si>
    <t>Vincent</t>
  </si>
  <si>
    <t xml:space="preserve"> format the cell that contained name using "n"</t>
  </si>
  <si>
    <t>Bottom 5 %</t>
  </si>
  <si>
    <t>format the date accordingly</t>
  </si>
  <si>
    <t>Numbers below average</t>
  </si>
  <si>
    <t xml:space="preserve">               Top 8 %</t>
  </si>
  <si>
    <t>To 10 items</t>
  </si>
  <si>
    <t>Number of Students Participated</t>
  </si>
  <si>
    <t>Min Score</t>
  </si>
  <si>
    <t>Maximum Score</t>
  </si>
  <si>
    <t>Questions</t>
  </si>
  <si>
    <t xml:space="preserve">Calculate the minimum, Maximum, the number of student  who  wrote the exam, total and average of each student and </t>
  </si>
  <si>
    <t>students whose score is less than 65 should be noted as "Failed" otherwise "Passed" get the number of students who failed</t>
  </si>
  <si>
    <t xml:space="preserve">and the number of students who passed. </t>
  </si>
  <si>
    <t>passed count</t>
  </si>
  <si>
    <t>Failed count</t>
  </si>
  <si>
    <t xml:space="preserve">Question: Find the Quantity using Relative Referencing </t>
  </si>
  <si>
    <t>Question:  The manager has asked you to reduce the new price with 10%  using absolute referrencing</t>
  </si>
  <si>
    <t>Determine the price using structured referencing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</si>
</sst>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0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0" fontId="5" fillId="0" borderId="0" xfId="0" applyFont="1"/>
    <xf numFmtId="0" fontId="1" fillId="0" borderId="0" xfId="0" applyFont="1"/>
    <xf numFmtId="0" fontId="9" fillId="6" borderId="0" xfId="0" applyFont="1" applyFill="1"/>
    <xf numFmtId="0" fontId="8" fillId="0" borderId="0" xfId="0" applyFont="1"/>
    <xf numFmtId="0" fontId="10" fillId="7" borderId="0" xfId="0" applyFont="1" applyFill="1"/>
    <xf numFmtId="0" fontId="10" fillId="4" borderId="0" xfId="0" applyFont="1" applyFill="1"/>
    <xf numFmtId="0" fontId="10" fillId="5" borderId="0" xfId="0" applyFont="1" applyFill="1"/>
    <xf numFmtId="0" fontId="6" fillId="0" borderId="0" xfId="0" applyFont="1"/>
    <xf numFmtId="0" fontId="6" fillId="8" borderId="0" xfId="0" applyFont="1" applyFill="1"/>
    <xf numFmtId="0" fontId="11" fillId="8" borderId="0" xfId="0" applyFont="1" applyFill="1"/>
    <xf numFmtId="0" fontId="11" fillId="9" borderId="0" xfId="0" applyFont="1" applyFill="1"/>
    <xf numFmtId="0" fontId="13" fillId="8" borderId="0" xfId="0" applyFont="1" applyFill="1"/>
    <xf numFmtId="0" fontId="14" fillId="8" borderId="0" xfId="0" applyFont="1" applyFill="1"/>
    <xf numFmtId="0" fontId="11" fillId="10" borderId="0" xfId="0" applyFont="1" applyFill="1"/>
    <xf numFmtId="0" fontId="2" fillId="8" borderId="0" xfId="0" applyFont="1" applyFill="1"/>
    <xf numFmtId="0" fontId="12" fillId="10" borderId="0" xfId="0" applyFont="1" applyFill="1"/>
    <xf numFmtId="0" fontId="15" fillId="9" borderId="0" xfId="0" applyFont="1" applyFill="1"/>
    <xf numFmtId="9" fontId="7" fillId="0" borderId="0" xfId="0" applyNumberFormat="1" applyFont="1"/>
    <xf numFmtId="0" fontId="9" fillId="9" borderId="0" xfId="0" applyFont="1" applyFill="1"/>
    <xf numFmtId="0" fontId="7" fillId="0" borderId="0" xfId="0" applyFont="1"/>
    <xf numFmtId="0" fontId="12" fillId="11" borderId="0" xfId="0" applyFont="1" applyFill="1"/>
    <xf numFmtId="0" fontId="16" fillId="11" borderId="0" xfId="0" applyFont="1" applyFill="1"/>
    <xf numFmtId="0" fontId="0" fillId="11" borderId="0" xfId="0" applyFill="1"/>
    <xf numFmtId="0" fontId="17" fillId="10" borderId="0" xfId="0" applyFont="1" applyFill="1"/>
    <xf numFmtId="0" fontId="18" fillId="12" borderId="0" xfId="0" applyFont="1" applyFill="1"/>
    <xf numFmtId="0" fontId="18" fillId="9" borderId="0" xfId="0" applyFont="1" applyFill="1"/>
    <xf numFmtId="0" fontId="4" fillId="0" borderId="0" xfId="0" applyFont="1"/>
    <xf numFmtId="0" fontId="19" fillId="0" borderId="0" xfId="0" applyFont="1"/>
    <xf numFmtId="0" fontId="0" fillId="13" borderId="0" xfId="0" applyFill="1"/>
    <xf numFmtId="0" fontId="20" fillId="13" borderId="0" xfId="0" applyFont="1" applyFill="1"/>
    <xf numFmtId="0" fontId="1" fillId="13" borderId="0" xfId="0" applyFont="1" applyFill="1"/>
    <xf numFmtId="0" fontId="21" fillId="0" borderId="0" xfId="0" applyFont="1"/>
    <xf numFmtId="0" fontId="3" fillId="14" borderId="0" xfId="0" applyFont="1" applyFill="1"/>
    <xf numFmtId="0" fontId="3" fillId="9" borderId="0" xfId="0" applyFont="1" applyFill="1"/>
    <xf numFmtId="0" fontId="21" fillId="15" borderId="1" xfId="0" applyFont="1" applyFill="1" applyBorder="1"/>
    <xf numFmtId="0" fontId="21" fillId="0" borderId="1" xfId="0" applyFont="1" applyBorder="1"/>
    <xf numFmtId="0" fontId="1" fillId="3" borderId="0" xfId="0" applyFont="1" applyFill="1"/>
    <xf numFmtId="0" fontId="9" fillId="3" borderId="0" xfId="0" applyFont="1" applyFill="1"/>
    <xf numFmtId="0" fontId="0" fillId="3" borderId="0" xfId="0" applyFill="1"/>
    <xf numFmtId="14" fontId="0" fillId="0" borderId="0" xfId="0" applyNumberFormat="1"/>
    <xf numFmtId="0" fontId="0" fillId="4" borderId="0" xfId="0" applyFill="1"/>
    <xf numFmtId="0" fontId="19" fillId="0" borderId="0" xfId="0" applyFont="1" applyAlignment="1">
      <alignment horizontal="left" vertical="center" indent="2"/>
    </xf>
    <xf numFmtId="0" fontId="22" fillId="2" borderId="0" xfId="0" applyFont="1" applyFill="1"/>
    <xf numFmtId="0" fontId="0" fillId="16" borderId="0" xfId="0" applyFill="1"/>
    <xf numFmtId="0" fontId="8" fillId="0" borderId="0" xfId="0" applyFont="1" applyAlignment="1">
      <alignment horizontal="left" vertical="center" indent="2"/>
    </xf>
    <xf numFmtId="0" fontId="8" fillId="0" borderId="0" xfId="0" applyFont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8B507B-BDB7-4732-850E-E68BFC58E998}" name="Table6" displayName="Table6" ref="B3:E10" totalsRowShown="0" headerRowDxfId="24" dataDxfId="23" tableBorderDxfId="22">
  <autoFilter ref="B3:E10" xr:uid="{A68B507B-BDB7-4732-850E-E68BFC58E998}"/>
  <tableColumns count="4">
    <tableColumn id="1" xr3:uid="{6FCA78E8-06F2-432A-A792-D16B89E63511}" name="PRODUCT" dataDxfId="21"/>
    <tableColumn id="2" xr3:uid="{DC10130A-8D3E-4928-B8DE-EBB75ABAB47C}" name="QUANTITY SOLD" dataDxfId="20"/>
    <tableColumn id="3" xr3:uid="{059997BC-B1B2-40E1-BC64-BA76BA00543E}" name="PRICE" dataDxfId="19">
      <calculatedColumnFormula>Table6[[#This Row],[TOTAL SALES]]/Table6[[#This Row],[QUANTITY SOLD]]</calculatedColumnFormula>
    </tableColumn>
    <tableColumn id="4" xr3:uid="{6B9E37F1-856D-4D83-AAEC-91E34AEAA640}" name="TOTAL SALES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691B-AC05-4FB0-9E48-5A6CFD5D4323}">
  <dimension ref="A1:S69"/>
  <sheetViews>
    <sheetView workbookViewId="0">
      <selection activeCell="U19" sqref="U19"/>
    </sheetView>
  </sheetViews>
  <sheetFormatPr defaultRowHeight="14.5" x14ac:dyDescent="0.35"/>
  <cols>
    <col min="16" max="18" width="10.7265625" bestFit="1" customWidth="1"/>
  </cols>
  <sheetData>
    <row r="1" spans="1:17" ht="23.5" x14ac:dyDescent="0.55000000000000004">
      <c r="E1" s="38"/>
      <c r="F1" s="39" t="s">
        <v>35</v>
      </c>
      <c r="G1" s="39"/>
      <c r="H1" s="39"/>
      <c r="I1" s="38"/>
    </row>
    <row r="2" spans="1:17" x14ac:dyDescent="0.35">
      <c r="E2" s="40"/>
      <c r="F2" s="40"/>
      <c r="G2" s="40"/>
      <c r="H2" s="40"/>
      <c r="I2" s="40"/>
    </row>
    <row r="3" spans="1:17" x14ac:dyDescent="0.35">
      <c r="A3" s="3" t="s">
        <v>0</v>
      </c>
      <c r="B3" s="3" t="s">
        <v>3</v>
      </c>
      <c r="C3" s="3" t="s">
        <v>4</v>
      </c>
      <c r="D3" s="3" t="s">
        <v>2</v>
      </c>
      <c r="E3" s="3" t="s">
        <v>5</v>
      </c>
      <c r="G3" s="3" t="s">
        <v>0</v>
      </c>
      <c r="H3" s="3" t="s">
        <v>3</v>
      </c>
      <c r="I3" s="3" t="s">
        <v>4</v>
      </c>
      <c r="J3" s="3" t="s">
        <v>2</v>
      </c>
      <c r="K3" s="3" t="s">
        <v>5</v>
      </c>
      <c r="M3" s="3" t="s">
        <v>0</v>
      </c>
      <c r="N3" s="3" t="s">
        <v>3</v>
      </c>
      <c r="O3" s="3" t="s">
        <v>4</v>
      </c>
      <c r="P3" s="3" t="s">
        <v>2</v>
      </c>
      <c r="Q3" s="3" t="s">
        <v>5</v>
      </c>
    </row>
    <row r="4" spans="1:17" x14ac:dyDescent="0.35">
      <c r="A4">
        <v>55</v>
      </c>
      <c r="B4">
        <v>75</v>
      </c>
      <c r="C4">
        <v>18</v>
      </c>
      <c r="D4">
        <v>94</v>
      </c>
      <c r="E4">
        <v>76</v>
      </c>
      <c r="G4">
        <v>55</v>
      </c>
      <c r="H4">
        <v>75</v>
      </c>
      <c r="I4">
        <v>18</v>
      </c>
      <c r="J4">
        <v>94</v>
      </c>
      <c r="K4">
        <v>76</v>
      </c>
      <c r="M4">
        <v>55</v>
      </c>
      <c r="N4">
        <v>75</v>
      </c>
      <c r="O4">
        <v>18</v>
      </c>
      <c r="P4">
        <v>94</v>
      </c>
      <c r="Q4">
        <v>76</v>
      </c>
    </row>
    <row r="5" spans="1:17" x14ac:dyDescent="0.35">
      <c r="A5">
        <v>68</v>
      </c>
      <c r="B5">
        <v>46</v>
      </c>
      <c r="C5">
        <v>46</v>
      </c>
      <c r="D5">
        <v>94</v>
      </c>
      <c r="E5">
        <v>13</v>
      </c>
      <c r="G5">
        <v>68</v>
      </c>
      <c r="H5">
        <v>46</v>
      </c>
      <c r="I5">
        <v>46</v>
      </c>
      <c r="J5">
        <v>94</v>
      </c>
      <c r="K5">
        <v>13</v>
      </c>
      <c r="M5">
        <v>68</v>
      </c>
      <c r="N5">
        <v>46</v>
      </c>
      <c r="O5">
        <v>46</v>
      </c>
      <c r="P5">
        <v>94</v>
      </c>
      <c r="Q5">
        <v>13</v>
      </c>
    </row>
    <row r="6" spans="1:17" x14ac:dyDescent="0.35">
      <c r="A6">
        <v>97</v>
      </c>
      <c r="B6">
        <v>12</v>
      </c>
      <c r="C6">
        <v>75</v>
      </c>
      <c r="D6">
        <v>46</v>
      </c>
      <c r="E6">
        <v>76</v>
      </c>
      <c r="G6">
        <v>97</v>
      </c>
      <c r="H6">
        <v>12</v>
      </c>
      <c r="I6">
        <v>75</v>
      </c>
      <c r="J6">
        <v>46</v>
      </c>
      <c r="K6">
        <v>76</v>
      </c>
      <c r="M6">
        <v>97</v>
      </c>
      <c r="N6">
        <v>12</v>
      </c>
      <c r="O6">
        <v>75</v>
      </c>
      <c r="P6">
        <v>46</v>
      </c>
      <c r="Q6">
        <v>76</v>
      </c>
    </row>
    <row r="7" spans="1:17" x14ac:dyDescent="0.35">
      <c r="A7">
        <v>34</v>
      </c>
      <c r="B7">
        <v>78</v>
      </c>
      <c r="C7">
        <v>94</v>
      </c>
      <c r="D7">
        <v>45</v>
      </c>
      <c r="E7">
        <v>16</v>
      </c>
      <c r="G7">
        <v>34</v>
      </c>
      <c r="H7">
        <v>78</v>
      </c>
      <c r="I7">
        <v>94</v>
      </c>
      <c r="J7">
        <v>45</v>
      </c>
      <c r="K7">
        <v>16</v>
      </c>
      <c r="M7">
        <v>34</v>
      </c>
      <c r="N7">
        <v>78</v>
      </c>
      <c r="O7">
        <v>94</v>
      </c>
      <c r="P7">
        <v>45</v>
      </c>
      <c r="Q7">
        <v>16</v>
      </c>
    </row>
    <row r="8" spans="1:17" x14ac:dyDescent="0.35">
      <c r="A8">
        <v>58</v>
      </c>
      <c r="B8">
        <v>89</v>
      </c>
      <c r="C8">
        <v>16</v>
      </c>
      <c r="D8">
        <v>73</v>
      </c>
      <c r="E8">
        <v>94</v>
      </c>
      <c r="G8">
        <v>58</v>
      </c>
      <c r="H8">
        <v>89</v>
      </c>
      <c r="I8">
        <v>16</v>
      </c>
      <c r="J8">
        <v>73</v>
      </c>
      <c r="K8">
        <v>94</v>
      </c>
      <c r="M8">
        <v>58</v>
      </c>
      <c r="N8">
        <v>89</v>
      </c>
      <c r="O8">
        <v>16</v>
      </c>
      <c r="P8">
        <v>73</v>
      </c>
      <c r="Q8">
        <v>94</v>
      </c>
    </row>
    <row r="9" spans="1:17" x14ac:dyDescent="0.35">
      <c r="A9">
        <v>34</v>
      </c>
      <c r="B9">
        <v>75</v>
      </c>
      <c r="C9">
        <v>46</v>
      </c>
      <c r="D9">
        <v>45</v>
      </c>
      <c r="E9">
        <v>34</v>
      </c>
      <c r="G9">
        <v>34</v>
      </c>
      <c r="H9">
        <v>75</v>
      </c>
      <c r="I9">
        <v>46</v>
      </c>
      <c r="J9">
        <v>45</v>
      </c>
      <c r="K9">
        <v>34</v>
      </c>
      <c r="M9">
        <v>34</v>
      </c>
      <c r="N9">
        <v>75</v>
      </c>
      <c r="O9">
        <v>46</v>
      </c>
      <c r="P9">
        <v>45</v>
      </c>
      <c r="Q9">
        <v>34</v>
      </c>
    </row>
    <row r="10" spans="1:17" x14ac:dyDescent="0.35">
      <c r="A10">
        <v>67</v>
      </c>
      <c r="B10">
        <v>94</v>
      </c>
      <c r="C10">
        <v>76</v>
      </c>
      <c r="D10">
        <v>44</v>
      </c>
      <c r="E10">
        <v>81</v>
      </c>
      <c r="G10">
        <v>67</v>
      </c>
      <c r="H10">
        <v>94</v>
      </c>
      <c r="I10">
        <v>76</v>
      </c>
      <c r="J10">
        <v>44</v>
      </c>
      <c r="K10">
        <v>81</v>
      </c>
      <c r="M10">
        <v>67</v>
      </c>
      <c r="N10">
        <v>94</v>
      </c>
      <c r="O10">
        <v>76</v>
      </c>
      <c r="P10">
        <v>44</v>
      </c>
      <c r="Q10">
        <v>81</v>
      </c>
    </row>
    <row r="11" spans="1:17" x14ac:dyDescent="0.35">
      <c r="A11">
        <v>97</v>
      </c>
      <c r="B11">
        <v>34</v>
      </c>
      <c r="C11">
        <v>79</v>
      </c>
      <c r="D11">
        <v>88</v>
      </c>
      <c r="E11">
        <v>29</v>
      </c>
      <c r="G11">
        <v>97</v>
      </c>
      <c r="H11">
        <v>34</v>
      </c>
      <c r="I11">
        <v>79</v>
      </c>
      <c r="J11">
        <v>88</v>
      </c>
      <c r="K11">
        <v>29</v>
      </c>
      <c r="M11">
        <v>97</v>
      </c>
      <c r="N11">
        <v>34</v>
      </c>
      <c r="O11">
        <v>79</v>
      </c>
      <c r="P11">
        <v>88</v>
      </c>
      <c r="Q11">
        <v>29</v>
      </c>
    </row>
    <row r="12" spans="1:17" x14ac:dyDescent="0.35">
      <c r="A12">
        <v>86</v>
      </c>
      <c r="B12">
        <v>18</v>
      </c>
      <c r="C12">
        <v>64</v>
      </c>
      <c r="D12">
        <v>97</v>
      </c>
      <c r="E12">
        <v>37</v>
      </c>
      <c r="G12">
        <v>86</v>
      </c>
      <c r="H12">
        <v>18</v>
      </c>
      <c r="I12">
        <v>64</v>
      </c>
      <c r="J12">
        <v>97</v>
      </c>
      <c r="K12">
        <v>37</v>
      </c>
      <c r="M12">
        <v>86</v>
      </c>
      <c r="N12">
        <v>18</v>
      </c>
      <c r="O12">
        <v>64</v>
      </c>
      <c r="P12">
        <v>97</v>
      </c>
      <c r="Q12">
        <v>37</v>
      </c>
    </row>
    <row r="13" spans="1:17" x14ac:dyDescent="0.35">
      <c r="A13">
        <v>94</v>
      </c>
      <c r="B13">
        <v>46</v>
      </c>
      <c r="C13">
        <v>67</v>
      </c>
      <c r="D13">
        <v>94</v>
      </c>
      <c r="E13">
        <v>39</v>
      </c>
      <c r="G13">
        <v>94</v>
      </c>
      <c r="H13">
        <v>46</v>
      </c>
      <c r="I13">
        <v>67</v>
      </c>
      <c r="J13">
        <v>94</v>
      </c>
      <c r="K13">
        <v>39</v>
      </c>
      <c r="M13">
        <v>94</v>
      </c>
      <c r="N13">
        <v>46</v>
      </c>
      <c r="O13">
        <v>67</v>
      </c>
      <c r="P13">
        <v>94</v>
      </c>
      <c r="Q13">
        <v>39</v>
      </c>
    </row>
    <row r="14" spans="1:17" x14ac:dyDescent="0.35">
      <c r="A14" t="s">
        <v>36</v>
      </c>
      <c r="H14" t="s">
        <v>37</v>
      </c>
      <c r="M14" t="s">
        <v>38</v>
      </c>
      <c r="O14" t="s">
        <v>39</v>
      </c>
    </row>
    <row r="16" spans="1:17" x14ac:dyDescent="0.35">
      <c r="A16" s="3" t="s">
        <v>0</v>
      </c>
      <c r="B16" s="3" t="s">
        <v>3</v>
      </c>
      <c r="C16" s="3" t="s">
        <v>4</v>
      </c>
      <c r="D16" s="3" t="s">
        <v>2</v>
      </c>
      <c r="E16" s="3" t="s">
        <v>5</v>
      </c>
      <c r="G16" s="3" t="s">
        <v>0</v>
      </c>
      <c r="H16" s="3" t="s">
        <v>3</v>
      </c>
      <c r="I16" s="3" t="s">
        <v>4</v>
      </c>
      <c r="J16" s="3" t="s">
        <v>2</v>
      </c>
      <c r="K16" s="3" t="s">
        <v>5</v>
      </c>
      <c r="M16" s="3" t="s">
        <v>0</v>
      </c>
      <c r="N16" s="3" t="s">
        <v>3</v>
      </c>
      <c r="O16" s="3" t="s">
        <v>4</v>
      </c>
      <c r="P16" s="3" t="s">
        <v>2</v>
      </c>
      <c r="Q16" s="3" t="s">
        <v>5</v>
      </c>
    </row>
    <row r="17" spans="1:19" x14ac:dyDescent="0.35">
      <c r="A17">
        <v>55</v>
      </c>
      <c r="B17">
        <v>75</v>
      </c>
      <c r="C17">
        <v>18</v>
      </c>
      <c r="D17">
        <v>94</v>
      </c>
      <c r="E17">
        <v>76</v>
      </c>
      <c r="G17">
        <v>55</v>
      </c>
      <c r="H17">
        <v>75</v>
      </c>
      <c r="I17">
        <v>18</v>
      </c>
      <c r="J17">
        <v>94</v>
      </c>
      <c r="K17">
        <v>76</v>
      </c>
      <c r="M17">
        <v>55</v>
      </c>
      <c r="N17">
        <v>75</v>
      </c>
      <c r="O17">
        <v>18</v>
      </c>
      <c r="P17">
        <v>94</v>
      </c>
      <c r="Q17">
        <v>76</v>
      </c>
    </row>
    <row r="18" spans="1:19" x14ac:dyDescent="0.35">
      <c r="A18">
        <v>68</v>
      </c>
      <c r="B18">
        <v>46</v>
      </c>
      <c r="C18">
        <v>46</v>
      </c>
      <c r="D18">
        <v>94</v>
      </c>
      <c r="E18">
        <v>13</v>
      </c>
      <c r="G18">
        <v>68</v>
      </c>
      <c r="H18">
        <v>46</v>
      </c>
      <c r="I18">
        <v>46</v>
      </c>
      <c r="J18">
        <v>94</v>
      </c>
      <c r="K18">
        <v>13</v>
      </c>
      <c r="M18">
        <v>68</v>
      </c>
      <c r="N18">
        <v>46</v>
      </c>
      <c r="O18">
        <v>46</v>
      </c>
      <c r="P18">
        <v>94</v>
      </c>
      <c r="Q18">
        <v>13</v>
      </c>
    </row>
    <row r="19" spans="1:19" x14ac:dyDescent="0.35">
      <c r="A19">
        <v>97</v>
      </c>
      <c r="B19">
        <v>12</v>
      </c>
      <c r="C19">
        <v>75</v>
      </c>
      <c r="D19">
        <v>46</v>
      </c>
      <c r="E19">
        <v>76</v>
      </c>
      <c r="G19">
        <v>97</v>
      </c>
      <c r="H19">
        <v>12</v>
      </c>
      <c r="I19">
        <v>75</v>
      </c>
      <c r="J19">
        <v>46</v>
      </c>
      <c r="K19">
        <v>76</v>
      </c>
      <c r="M19">
        <v>97</v>
      </c>
      <c r="N19">
        <v>12</v>
      </c>
      <c r="O19" t="s">
        <v>49</v>
      </c>
      <c r="P19">
        <v>46</v>
      </c>
      <c r="Q19">
        <v>76</v>
      </c>
    </row>
    <row r="20" spans="1:19" x14ac:dyDescent="0.35">
      <c r="A20">
        <v>34</v>
      </c>
      <c r="B20">
        <v>78</v>
      </c>
      <c r="C20">
        <v>94</v>
      </c>
      <c r="D20">
        <v>45</v>
      </c>
      <c r="E20">
        <v>16</v>
      </c>
      <c r="G20">
        <v>34</v>
      </c>
      <c r="H20">
        <v>78</v>
      </c>
      <c r="I20">
        <v>94</v>
      </c>
      <c r="J20">
        <v>45</v>
      </c>
      <c r="K20">
        <v>16</v>
      </c>
      <c r="M20">
        <v>34</v>
      </c>
      <c r="N20">
        <v>78</v>
      </c>
      <c r="O20">
        <v>94</v>
      </c>
      <c r="P20">
        <v>45</v>
      </c>
      <c r="Q20">
        <v>16</v>
      </c>
    </row>
    <row r="21" spans="1:19" x14ac:dyDescent="0.35">
      <c r="A21">
        <v>58</v>
      </c>
      <c r="B21">
        <v>89</v>
      </c>
      <c r="C21">
        <v>16</v>
      </c>
      <c r="D21">
        <v>73</v>
      </c>
      <c r="E21">
        <v>94</v>
      </c>
      <c r="G21">
        <v>58</v>
      </c>
      <c r="H21">
        <v>89</v>
      </c>
      <c r="I21">
        <v>16</v>
      </c>
      <c r="J21">
        <v>73</v>
      </c>
      <c r="K21">
        <v>94</v>
      </c>
      <c r="M21">
        <v>58</v>
      </c>
      <c r="N21">
        <v>89</v>
      </c>
      <c r="O21">
        <v>16</v>
      </c>
      <c r="P21">
        <v>73</v>
      </c>
      <c r="Q21">
        <v>94</v>
      </c>
    </row>
    <row r="22" spans="1:19" x14ac:dyDescent="0.35">
      <c r="A22">
        <v>34</v>
      </c>
      <c r="B22">
        <v>75</v>
      </c>
      <c r="C22">
        <v>46</v>
      </c>
      <c r="D22">
        <v>45</v>
      </c>
      <c r="E22">
        <v>34</v>
      </c>
      <c r="G22">
        <v>34</v>
      </c>
      <c r="H22">
        <v>75</v>
      </c>
      <c r="I22">
        <v>46</v>
      </c>
      <c r="J22">
        <v>45</v>
      </c>
      <c r="K22">
        <v>34</v>
      </c>
      <c r="M22" t="s">
        <v>48</v>
      </c>
      <c r="N22">
        <v>75</v>
      </c>
      <c r="O22">
        <v>46</v>
      </c>
      <c r="P22">
        <v>45</v>
      </c>
      <c r="Q22">
        <v>34</v>
      </c>
    </row>
    <row r="23" spans="1:19" x14ac:dyDescent="0.35">
      <c r="A23">
        <v>67</v>
      </c>
      <c r="B23">
        <v>94</v>
      </c>
      <c r="C23">
        <v>76</v>
      </c>
      <c r="D23">
        <v>44</v>
      </c>
      <c r="E23">
        <v>81</v>
      </c>
      <c r="G23">
        <v>67</v>
      </c>
      <c r="H23">
        <v>94</v>
      </c>
      <c r="I23">
        <v>76</v>
      </c>
      <c r="J23">
        <v>44</v>
      </c>
      <c r="K23">
        <v>81</v>
      </c>
      <c r="M23">
        <v>67</v>
      </c>
      <c r="N23">
        <v>94</v>
      </c>
      <c r="O23">
        <v>76</v>
      </c>
      <c r="P23">
        <v>44</v>
      </c>
      <c r="Q23">
        <v>81</v>
      </c>
    </row>
    <row r="24" spans="1:19" x14ac:dyDescent="0.35">
      <c r="A24">
        <v>97</v>
      </c>
      <c r="B24">
        <v>34</v>
      </c>
      <c r="C24">
        <v>79</v>
      </c>
      <c r="D24">
        <v>88</v>
      </c>
      <c r="E24">
        <v>29</v>
      </c>
      <c r="G24">
        <v>97</v>
      </c>
      <c r="H24">
        <v>34</v>
      </c>
      <c r="I24">
        <v>79</v>
      </c>
      <c r="J24">
        <v>88</v>
      </c>
      <c r="K24">
        <v>29</v>
      </c>
      <c r="M24">
        <v>97</v>
      </c>
      <c r="N24">
        <v>34</v>
      </c>
      <c r="O24">
        <v>79</v>
      </c>
      <c r="P24">
        <v>88</v>
      </c>
      <c r="Q24">
        <v>29</v>
      </c>
    </row>
    <row r="25" spans="1:19" x14ac:dyDescent="0.35">
      <c r="A25">
        <v>86</v>
      </c>
      <c r="B25">
        <v>18</v>
      </c>
      <c r="C25">
        <v>64</v>
      </c>
      <c r="D25">
        <v>97</v>
      </c>
      <c r="E25">
        <v>37</v>
      </c>
      <c r="G25">
        <v>86</v>
      </c>
      <c r="H25">
        <v>18</v>
      </c>
      <c r="I25">
        <v>64</v>
      </c>
      <c r="J25">
        <v>97</v>
      </c>
      <c r="K25">
        <v>37</v>
      </c>
      <c r="M25">
        <v>86</v>
      </c>
      <c r="N25">
        <v>18</v>
      </c>
      <c r="O25">
        <v>64</v>
      </c>
      <c r="P25" t="s">
        <v>1</v>
      </c>
      <c r="Q25">
        <v>37</v>
      </c>
    </row>
    <row r="26" spans="1:19" x14ac:dyDescent="0.35">
      <c r="A26">
        <v>94</v>
      </c>
      <c r="B26">
        <v>46</v>
      </c>
      <c r="C26">
        <v>67</v>
      </c>
      <c r="D26">
        <v>94</v>
      </c>
      <c r="E26">
        <v>39</v>
      </c>
      <c r="G26">
        <v>94</v>
      </c>
      <c r="H26">
        <v>46</v>
      </c>
      <c r="I26">
        <v>67</v>
      </c>
      <c r="J26">
        <v>94</v>
      </c>
      <c r="K26">
        <v>39</v>
      </c>
      <c r="M26">
        <v>94</v>
      </c>
      <c r="N26">
        <v>46</v>
      </c>
      <c r="O26">
        <v>67</v>
      </c>
      <c r="P26">
        <v>94</v>
      </c>
      <c r="Q26">
        <v>39</v>
      </c>
    </row>
    <row r="27" spans="1:19" x14ac:dyDescent="0.35">
      <c r="A27" t="s">
        <v>40</v>
      </c>
      <c r="G27" t="s">
        <v>41</v>
      </c>
      <c r="M27" t="s">
        <v>50</v>
      </c>
    </row>
    <row r="29" spans="1:19" x14ac:dyDescent="0.35">
      <c r="A29" s="3" t="s">
        <v>0</v>
      </c>
      <c r="B29" s="3" t="s">
        <v>3</v>
      </c>
      <c r="C29" s="3" t="s">
        <v>4</v>
      </c>
      <c r="D29" s="3" t="s">
        <v>2</v>
      </c>
      <c r="E29" s="3" t="s">
        <v>5</v>
      </c>
      <c r="G29" s="3" t="s">
        <v>0</v>
      </c>
      <c r="H29" s="3" t="s">
        <v>3</v>
      </c>
      <c r="I29" s="3" t="s">
        <v>4</v>
      </c>
      <c r="J29" s="3" t="s">
        <v>2</v>
      </c>
      <c r="K29" s="3" t="s">
        <v>5</v>
      </c>
      <c r="L29" s="3" t="s">
        <v>42</v>
      </c>
      <c r="N29" s="3" t="s">
        <v>0</v>
      </c>
      <c r="O29" s="3" t="s">
        <v>3</v>
      </c>
      <c r="P29" s="3" t="s">
        <v>4</v>
      </c>
      <c r="Q29" s="3" t="s">
        <v>2</v>
      </c>
      <c r="R29" s="3" t="s">
        <v>5</v>
      </c>
      <c r="S29" s="3" t="s">
        <v>42</v>
      </c>
    </row>
    <row r="30" spans="1:19" x14ac:dyDescent="0.35">
      <c r="A30">
        <v>55</v>
      </c>
      <c r="B30">
        <v>75</v>
      </c>
      <c r="C30">
        <v>18</v>
      </c>
      <c r="D30">
        <v>94</v>
      </c>
      <c r="E30">
        <v>76</v>
      </c>
      <c r="G30">
        <v>55</v>
      </c>
      <c r="H30">
        <v>75</v>
      </c>
      <c r="I30">
        <v>18</v>
      </c>
      <c r="J30">
        <v>94</v>
      </c>
      <c r="K30">
        <v>76</v>
      </c>
      <c r="L30">
        <f>AVERAGE(G30:K30)</f>
        <v>63.6</v>
      </c>
      <c r="N30">
        <v>55</v>
      </c>
      <c r="O30">
        <v>75</v>
      </c>
      <c r="P30">
        <v>18</v>
      </c>
      <c r="Q30">
        <v>94</v>
      </c>
      <c r="R30">
        <v>76</v>
      </c>
      <c r="S30">
        <f>AVERAGE(N30:R30)</f>
        <v>63.6</v>
      </c>
    </row>
    <row r="31" spans="1:19" x14ac:dyDescent="0.35">
      <c r="A31">
        <v>68</v>
      </c>
      <c r="B31">
        <v>46</v>
      </c>
      <c r="C31">
        <v>46</v>
      </c>
      <c r="D31">
        <v>94</v>
      </c>
      <c r="E31">
        <v>13</v>
      </c>
      <c r="G31">
        <v>68</v>
      </c>
      <c r="H31">
        <v>46</v>
      </c>
      <c r="I31">
        <v>46</v>
      </c>
      <c r="J31">
        <v>94</v>
      </c>
      <c r="K31">
        <v>13</v>
      </c>
      <c r="L31">
        <f t="shared" ref="L31:L38" si="0">AVERAGE(G31:K31)</f>
        <v>53.4</v>
      </c>
      <c r="N31">
        <v>68</v>
      </c>
      <c r="O31">
        <v>46</v>
      </c>
      <c r="P31">
        <v>46</v>
      </c>
      <c r="Q31">
        <v>94</v>
      </c>
      <c r="R31">
        <v>13</v>
      </c>
      <c r="S31">
        <f t="shared" ref="S31:S38" si="1">AVERAGE(N31:R31)</f>
        <v>53.4</v>
      </c>
    </row>
    <row r="32" spans="1:19" x14ac:dyDescent="0.35">
      <c r="A32">
        <v>97</v>
      </c>
      <c r="B32">
        <v>12</v>
      </c>
      <c r="C32">
        <v>75</v>
      </c>
      <c r="D32">
        <v>46</v>
      </c>
      <c r="E32">
        <v>76</v>
      </c>
      <c r="G32">
        <v>97</v>
      </c>
      <c r="H32">
        <v>12</v>
      </c>
      <c r="I32">
        <v>75</v>
      </c>
      <c r="J32">
        <v>46</v>
      </c>
      <c r="K32">
        <v>76</v>
      </c>
      <c r="L32">
        <f t="shared" si="0"/>
        <v>61.2</v>
      </c>
      <c r="N32">
        <v>97</v>
      </c>
      <c r="O32">
        <v>12</v>
      </c>
      <c r="P32">
        <v>75</v>
      </c>
      <c r="Q32">
        <v>46</v>
      </c>
      <c r="R32">
        <v>76</v>
      </c>
      <c r="S32">
        <f t="shared" si="1"/>
        <v>61.2</v>
      </c>
    </row>
    <row r="33" spans="1:19" x14ac:dyDescent="0.35">
      <c r="A33">
        <v>34</v>
      </c>
      <c r="B33">
        <v>78</v>
      </c>
      <c r="C33">
        <v>94</v>
      </c>
      <c r="D33">
        <v>45</v>
      </c>
      <c r="E33">
        <v>16</v>
      </c>
      <c r="G33">
        <v>34</v>
      </c>
      <c r="H33">
        <v>78</v>
      </c>
      <c r="I33">
        <v>94</v>
      </c>
      <c r="J33">
        <v>45</v>
      </c>
      <c r="K33">
        <v>16</v>
      </c>
      <c r="L33">
        <f t="shared" si="0"/>
        <v>53.4</v>
      </c>
      <c r="N33">
        <v>34</v>
      </c>
      <c r="O33">
        <v>78</v>
      </c>
      <c r="P33">
        <v>94</v>
      </c>
      <c r="Q33">
        <v>45</v>
      </c>
      <c r="R33">
        <v>16</v>
      </c>
      <c r="S33">
        <f t="shared" si="1"/>
        <v>53.4</v>
      </c>
    </row>
    <row r="34" spans="1:19" x14ac:dyDescent="0.35">
      <c r="A34">
        <v>58</v>
      </c>
      <c r="B34">
        <v>89</v>
      </c>
      <c r="C34">
        <v>16</v>
      </c>
      <c r="D34">
        <v>73</v>
      </c>
      <c r="E34">
        <v>94</v>
      </c>
      <c r="G34">
        <v>58</v>
      </c>
      <c r="H34">
        <v>89</v>
      </c>
      <c r="I34">
        <v>16</v>
      </c>
      <c r="J34">
        <v>73</v>
      </c>
      <c r="K34">
        <v>94</v>
      </c>
      <c r="L34">
        <f t="shared" si="0"/>
        <v>66</v>
      </c>
      <c r="N34">
        <v>58</v>
      </c>
      <c r="O34">
        <v>89</v>
      </c>
      <c r="P34">
        <v>16</v>
      </c>
      <c r="Q34">
        <v>73</v>
      </c>
      <c r="R34">
        <v>94</v>
      </c>
      <c r="S34">
        <f t="shared" si="1"/>
        <v>66</v>
      </c>
    </row>
    <row r="35" spans="1:19" x14ac:dyDescent="0.35">
      <c r="A35">
        <v>34</v>
      </c>
      <c r="B35">
        <v>75</v>
      </c>
      <c r="C35">
        <v>46</v>
      </c>
      <c r="D35">
        <v>45</v>
      </c>
      <c r="E35">
        <v>34</v>
      </c>
      <c r="G35">
        <v>34</v>
      </c>
      <c r="H35">
        <v>75</v>
      </c>
      <c r="I35">
        <v>46</v>
      </c>
      <c r="J35">
        <v>45</v>
      </c>
      <c r="K35">
        <v>34</v>
      </c>
      <c r="L35">
        <f t="shared" si="0"/>
        <v>46.8</v>
      </c>
      <c r="N35">
        <v>34</v>
      </c>
      <c r="O35">
        <v>75</v>
      </c>
      <c r="P35">
        <v>46</v>
      </c>
      <c r="Q35">
        <v>45</v>
      </c>
      <c r="R35">
        <v>34</v>
      </c>
      <c r="S35">
        <f t="shared" si="1"/>
        <v>46.8</v>
      </c>
    </row>
    <row r="36" spans="1:19" x14ac:dyDescent="0.35">
      <c r="A36">
        <v>67</v>
      </c>
      <c r="B36">
        <v>94</v>
      </c>
      <c r="C36">
        <v>76</v>
      </c>
      <c r="D36">
        <v>44</v>
      </c>
      <c r="E36">
        <v>81</v>
      </c>
      <c r="G36">
        <v>67</v>
      </c>
      <c r="H36">
        <v>94</v>
      </c>
      <c r="I36">
        <v>76</v>
      </c>
      <c r="J36">
        <v>44</v>
      </c>
      <c r="K36">
        <v>81</v>
      </c>
      <c r="L36">
        <f t="shared" si="0"/>
        <v>72.400000000000006</v>
      </c>
      <c r="N36">
        <v>67</v>
      </c>
      <c r="O36">
        <v>94</v>
      </c>
      <c r="P36">
        <v>76</v>
      </c>
      <c r="Q36">
        <v>44</v>
      </c>
      <c r="R36">
        <v>81</v>
      </c>
      <c r="S36">
        <f t="shared" si="1"/>
        <v>72.400000000000006</v>
      </c>
    </row>
    <row r="37" spans="1:19" x14ac:dyDescent="0.35">
      <c r="A37">
        <v>97</v>
      </c>
      <c r="B37">
        <v>34</v>
      </c>
      <c r="C37">
        <v>79</v>
      </c>
      <c r="D37">
        <v>88</v>
      </c>
      <c r="E37">
        <v>29</v>
      </c>
      <c r="G37">
        <v>97</v>
      </c>
      <c r="H37">
        <v>34</v>
      </c>
      <c r="I37">
        <v>79</v>
      </c>
      <c r="J37">
        <v>88</v>
      </c>
      <c r="K37">
        <v>29</v>
      </c>
      <c r="L37">
        <f t="shared" si="0"/>
        <v>65.400000000000006</v>
      </c>
      <c r="N37">
        <v>97</v>
      </c>
      <c r="O37">
        <v>34</v>
      </c>
      <c r="P37">
        <v>79</v>
      </c>
      <c r="Q37">
        <v>88</v>
      </c>
      <c r="R37">
        <v>29</v>
      </c>
      <c r="S37">
        <f t="shared" si="1"/>
        <v>65.400000000000006</v>
      </c>
    </row>
    <row r="38" spans="1:19" x14ac:dyDescent="0.35">
      <c r="A38">
        <v>86</v>
      </c>
      <c r="B38">
        <v>18</v>
      </c>
      <c r="C38">
        <v>64</v>
      </c>
      <c r="D38">
        <v>97</v>
      </c>
      <c r="E38">
        <v>37</v>
      </c>
      <c r="G38">
        <v>86</v>
      </c>
      <c r="H38">
        <v>18</v>
      </c>
      <c r="I38">
        <v>64</v>
      </c>
      <c r="J38">
        <v>97</v>
      </c>
      <c r="K38">
        <v>37</v>
      </c>
      <c r="L38">
        <f t="shared" si="0"/>
        <v>60.4</v>
      </c>
      <c r="N38">
        <v>86</v>
      </c>
      <c r="O38">
        <v>18</v>
      </c>
      <c r="P38">
        <v>64</v>
      </c>
      <c r="Q38">
        <v>97</v>
      </c>
      <c r="R38">
        <v>37</v>
      </c>
      <c r="S38">
        <f t="shared" si="1"/>
        <v>60.4</v>
      </c>
    </row>
    <row r="39" spans="1:19" x14ac:dyDescent="0.35">
      <c r="A39">
        <v>94</v>
      </c>
      <c r="B39">
        <v>46</v>
      </c>
      <c r="C39">
        <v>67</v>
      </c>
      <c r="D39">
        <v>94</v>
      </c>
      <c r="E39">
        <v>39</v>
      </c>
      <c r="G39">
        <v>94</v>
      </c>
      <c r="H39">
        <v>46</v>
      </c>
      <c r="I39">
        <v>67</v>
      </c>
      <c r="J39">
        <v>94</v>
      </c>
      <c r="K39">
        <v>39</v>
      </c>
      <c r="L39">
        <v>64.3</v>
      </c>
      <c r="N39">
        <v>94</v>
      </c>
      <c r="O39">
        <v>46</v>
      </c>
      <c r="P39">
        <v>67</v>
      </c>
      <c r="Q39">
        <v>94</v>
      </c>
      <c r="R39">
        <v>39</v>
      </c>
      <c r="S39">
        <v>64.3</v>
      </c>
    </row>
    <row r="40" spans="1:19" x14ac:dyDescent="0.35">
      <c r="H40" t="s">
        <v>43</v>
      </c>
      <c r="O40" t="s">
        <v>51</v>
      </c>
    </row>
    <row r="41" spans="1:19" x14ac:dyDescent="0.35">
      <c r="A41" t="s">
        <v>44</v>
      </c>
    </row>
    <row r="43" spans="1:19" x14ac:dyDescent="0.35">
      <c r="A43" s="3" t="s">
        <v>0</v>
      </c>
      <c r="B43" s="3" t="s">
        <v>3</v>
      </c>
      <c r="C43" s="3" t="s">
        <v>4</v>
      </c>
      <c r="D43" s="3" t="s">
        <v>2</v>
      </c>
      <c r="E43" s="3" t="s">
        <v>5</v>
      </c>
      <c r="G43" s="3" t="s">
        <v>0</v>
      </c>
      <c r="H43" s="3" t="s">
        <v>3</v>
      </c>
      <c r="I43" s="3" t="s">
        <v>4</v>
      </c>
      <c r="J43" s="3" t="s">
        <v>2</v>
      </c>
      <c r="K43" s="3" t="s">
        <v>5</v>
      </c>
      <c r="L43" s="3" t="s">
        <v>42</v>
      </c>
      <c r="N43" s="3" t="s">
        <v>0</v>
      </c>
      <c r="O43" s="3" t="s">
        <v>3</v>
      </c>
      <c r="P43" s="3" t="s">
        <v>4</v>
      </c>
      <c r="Q43" s="3" t="s">
        <v>2</v>
      </c>
      <c r="R43" s="3" t="s">
        <v>5</v>
      </c>
      <c r="S43" s="3" t="s">
        <v>42</v>
      </c>
    </row>
    <row r="44" spans="1:19" x14ac:dyDescent="0.35">
      <c r="A44" s="45">
        <v>55</v>
      </c>
      <c r="B44" s="45">
        <v>75</v>
      </c>
      <c r="C44" s="45">
        <v>18</v>
      </c>
      <c r="D44" s="45">
        <v>94</v>
      </c>
      <c r="E44" s="45">
        <v>76</v>
      </c>
      <c r="G44">
        <v>55</v>
      </c>
      <c r="H44">
        <v>75</v>
      </c>
      <c r="I44">
        <v>18</v>
      </c>
      <c r="J44">
        <v>94</v>
      </c>
      <c r="K44">
        <v>76</v>
      </c>
      <c r="L44">
        <f>AVERAGE(G44:K44)</f>
        <v>63.6</v>
      </c>
      <c r="N44">
        <v>55</v>
      </c>
      <c r="O44">
        <v>75</v>
      </c>
      <c r="P44">
        <v>18</v>
      </c>
      <c r="Q44">
        <v>94</v>
      </c>
      <c r="R44">
        <v>76</v>
      </c>
      <c r="S44">
        <f>AVERAGE(N44:R44)</f>
        <v>63.6</v>
      </c>
    </row>
    <row r="45" spans="1:19" x14ac:dyDescent="0.35">
      <c r="A45" s="45">
        <v>68</v>
      </c>
      <c r="B45" s="45">
        <v>46</v>
      </c>
      <c r="C45" s="45">
        <v>46</v>
      </c>
      <c r="D45" s="45">
        <v>94</v>
      </c>
      <c r="E45" s="45">
        <v>13</v>
      </c>
      <c r="G45">
        <v>68</v>
      </c>
      <c r="H45">
        <v>46</v>
      </c>
      <c r="I45">
        <v>46</v>
      </c>
      <c r="J45">
        <v>94</v>
      </c>
      <c r="K45">
        <v>13</v>
      </c>
      <c r="L45">
        <f t="shared" ref="L45:L53" si="2">AVERAGE(G45:K45)</f>
        <v>53.4</v>
      </c>
      <c r="N45">
        <v>68</v>
      </c>
      <c r="O45">
        <v>46</v>
      </c>
      <c r="P45">
        <v>46</v>
      </c>
      <c r="Q45">
        <v>94</v>
      </c>
      <c r="R45">
        <v>13</v>
      </c>
      <c r="S45">
        <f t="shared" ref="S45:S53" si="3">AVERAGE(N45:R45)</f>
        <v>53.4</v>
      </c>
    </row>
    <row r="46" spans="1:19" x14ac:dyDescent="0.35">
      <c r="A46" s="45">
        <v>97</v>
      </c>
      <c r="B46" s="45">
        <v>12</v>
      </c>
      <c r="C46" s="45">
        <v>75</v>
      </c>
      <c r="D46" s="45">
        <v>46</v>
      </c>
      <c r="E46" s="45">
        <v>76</v>
      </c>
      <c r="G46">
        <v>97</v>
      </c>
      <c r="H46">
        <v>12</v>
      </c>
      <c r="I46">
        <v>75</v>
      </c>
      <c r="J46">
        <v>46</v>
      </c>
      <c r="K46">
        <v>76</v>
      </c>
      <c r="L46">
        <f t="shared" si="2"/>
        <v>61.2</v>
      </c>
      <c r="N46">
        <v>97</v>
      </c>
      <c r="O46">
        <v>12</v>
      </c>
      <c r="P46">
        <v>75</v>
      </c>
      <c r="Q46">
        <v>46</v>
      </c>
      <c r="R46" s="41">
        <v>45881</v>
      </c>
      <c r="S46">
        <f t="shared" si="3"/>
        <v>9222.2000000000007</v>
      </c>
    </row>
    <row r="47" spans="1:19" x14ac:dyDescent="0.35">
      <c r="A47" s="45">
        <v>34</v>
      </c>
      <c r="B47" s="45">
        <v>78</v>
      </c>
      <c r="C47" s="45">
        <v>94</v>
      </c>
      <c r="D47" s="45">
        <v>45</v>
      </c>
      <c r="E47" s="45">
        <v>16</v>
      </c>
      <c r="G47">
        <v>34</v>
      </c>
      <c r="H47">
        <v>78</v>
      </c>
      <c r="I47">
        <v>94</v>
      </c>
      <c r="J47">
        <v>45</v>
      </c>
      <c r="K47">
        <v>16</v>
      </c>
      <c r="L47">
        <f t="shared" si="2"/>
        <v>53.4</v>
      </c>
      <c r="N47">
        <v>34</v>
      </c>
      <c r="O47">
        <v>78</v>
      </c>
      <c r="P47">
        <v>94</v>
      </c>
      <c r="Q47">
        <v>45</v>
      </c>
      <c r="R47">
        <v>16</v>
      </c>
      <c r="S47">
        <f t="shared" si="3"/>
        <v>53.4</v>
      </c>
    </row>
    <row r="48" spans="1:19" x14ac:dyDescent="0.35">
      <c r="A48" s="45">
        <v>58</v>
      </c>
      <c r="B48" s="45">
        <v>89</v>
      </c>
      <c r="C48" s="45">
        <v>16</v>
      </c>
      <c r="D48" s="45">
        <v>73</v>
      </c>
      <c r="E48" s="45">
        <v>94</v>
      </c>
      <c r="G48">
        <v>58</v>
      </c>
      <c r="H48">
        <v>89</v>
      </c>
      <c r="I48">
        <v>16</v>
      </c>
      <c r="J48">
        <v>73</v>
      </c>
      <c r="K48">
        <v>94</v>
      </c>
      <c r="L48">
        <f t="shared" si="2"/>
        <v>66</v>
      </c>
      <c r="N48">
        <v>58</v>
      </c>
      <c r="O48">
        <v>89</v>
      </c>
      <c r="P48" s="41">
        <v>45880</v>
      </c>
      <c r="Q48">
        <v>73</v>
      </c>
      <c r="R48">
        <v>94</v>
      </c>
      <c r="S48">
        <f t="shared" si="3"/>
        <v>9238.7999999999993</v>
      </c>
    </row>
    <row r="49" spans="1:19" x14ac:dyDescent="0.35">
      <c r="A49" s="45">
        <v>34</v>
      </c>
      <c r="B49" s="45">
        <v>75</v>
      </c>
      <c r="C49" s="45">
        <v>46</v>
      </c>
      <c r="D49" s="45">
        <v>45</v>
      </c>
      <c r="E49" s="45">
        <v>34</v>
      </c>
      <c r="G49">
        <v>34</v>
      </c>
      <c r="H49">
        <v>75</v>
      </c>
      <c r="I49">
        <v>46</v>
      </c>
      <c r="J49">
        <v>45</v>
      </c>
      <c r="K49">
        <v>34</v>
      </c>
      <c r="L49">
        <f t="shared" si="2"/>
        <v>46.8</v>
      </c>
      <c r="N49">
        <v>34</v>
      </c>
      <c r="O49">
        <v>75</v>
      </c>
      <c r="P49">
        <v>46</v>
      </c>
      <c r="Q49">
        <v>45</v>
      </c>
      <c r="R49">
        <v>34</v>
      </c>
      <c r="S49">
        <f t="shared" si="3"/>
        <v>46.8</v>
      </c>
    </row>
    <row r="50" spans="1:19" x14ac:dyDescent="0.35">
      <c r="A50" s="45">
        <v>67</v>
      </c>
      <c r="B50" s="45">
        <v>94</v>
      </c>
      <c r="C50" s="45">
        <v>76</v>
      </c>
      <c r="D50" s="45">
        <v>44</v>
      </c>
      <c r="E50" s="45">
        <v>81</v>
      </c>
      <c r="G50">
        <v>67</v>
      </c>
      <c r="H50">
        <v>94</v>
      </c>
      <c r="I50">
        <v>76</v>
      </c>
      <c r="J50">
        <v>44</v>
      </c>
      <c r="K50">
        <v>81</v>
      </c>
      <c r="L50">
        <f t="shared" si="2"/>
        <v>72.400000000000006</v>
      </c>
      <c r="N50">
        <v>67</v>
      </c>
      <c r="O50">
        <v>94</v>
      </c>
      <c r="P50">
        <v>76</v>
      </c>
      <c r="Q50">
        <v>44</v>
      </c>
      <c r="R50">
        <v>81</v>
      </c>
      <c r="S50">
        <f t="shared" si="3"/>
        <v>72.400000000000006</v>
      </c>
    </row>
    <row r="51" spans="1:19" x14ac:dyDescent="0.35">
      <c r="A51" s="45">
        <v>97</v>
      </c>
      <c r="B51" s="45">
        <v>34</v>
      </c>
      <c r="C51" s="45">
        <v>79</v>
      </c>
      <c r="D51" s="45">
        <v>88</v>
      </c>
      <c r="E51" s="45">
        <v>29</v>
      </c>
      <c r="G51">
        <v>97</v>
      </c>
      <c r="H51">
        <v>34</v>
      </c>
      <c r="I51">
        <v>79</v>
      </c>
      <c r="J51">
        <v>88</v>
      </c>
      <c r="K51">
        <v>29</v>
      </c>
      <c r="L51">
        <f t="shared" si="2"/>
        <v>65.400000000000006</v>
      </c>
      <c r="N51">
        <v>97</v>
      </c>
      <c r="O51">
        <v>34</v>
      </c>
      <c r="P51">
        <v>79</v>
      </c>
      <c r="Q51">
        <v>88</v>
      </c>
      <c r="R51">
        <v>29</v>
      </c>
      <c r="S51">
        <f t="shared" si="3"/>
        <v>65.400000000000006</v>
      </c>
    </row>
    <row r="52" spans="1:19" x14ac:dyDescent="0.35">
      <c r="A52" s="45">
        <v>86</v>
      </c>
      <c r="B52" s="45">
        <v>18</v>
      </c>
      <c r="C52" s="45">
        <v>64</v>
      </c>
      <c r="D52" s="45">
        <v>97</v>
      </c>
      <c r="E52" s="45">
        <v>37</v>
      </c>
      <c r="G52">
        <v>86</v>
      </c>
      <c r="H52">
        <v>18</v>
      </c>
      <c r="I52">
        <v>64</v>
      </c>
      <c r="J52">
        <v>97</v>
      </c>
      <c r="K52">
        <v>37</v>
      </c>
      <c r="L52">
        <f t="shared" si="2"/>
        <v>60.4</v>
      </c>
      <c r="N52">
        <v>86</v>
      </c>
      <c r="O52">
        <v>18</v>
      </c>
      <c r="P52">
        <v>64</v>
      </c>
      <c r="Q52" s="41">
        <v>45158</v>
      </c>
      <c r="R52">
        <v>37</v>
      </c>
      <c r="S52">
        <f t="shared" si="3"/>
        <v>9072.6</v>
      </c>
    </row>
    <row r="53" spans="1:19" x14ac:dyDescent="0.35">
      <c r="A53" s="45">
        <v>94</v>
      </c>
      <c r="B53" s="45">
        <v>46</v>
      </c>
      <c r="C53" s="45">
        <v>67</v>
      </c>
      <c r="D53" s="45">
        <v>94</v>
      </c>
      <c r="E53" s="45">
        <v>39</v>
      </c>
      <c r="G53">
        <v>94</v>
      </c>
      <c r="H53">
        <v>46</v>
      </c>
      <c r="I53">
        <v>67</v>
      </c>
      <c r="J53">
        <v>94</v>
      </c>
      <c r="K53">
        <v>39</v>
      </c>
      <c r="L53">
        <f t="shared" si="2"/>
        <v>68</v>
      </c>
      <c r="N53">
        <v>94</v>
      </c>
      <c r="O53">
        <v>46</v>
      </c>
      <c r="P53">
        <v>67</v>
      </c>
      <c r="Q53">
        <v>94</v>
      </c>
      <c r="R53">
        <v>39</v>
      </c>
      <c r="S53">
        <f t="shared" si="3"/>
        <v>68</v>
      </c>
    </row>
    <row r="54" spans="1:19" x14ac:dyDescent="0.35">
      <c r="H54" t="s">
        <v>45</v>
      </c>
      <c r="O54" t="s">
        <v>52</v>
      </c>
    </row>
    <row r="55" spans="1:19" x14ac:dyDescent="0.35">
      <c r="A55" t="s">
        <v>46</v>
      </c>
      <c r="C55" t="s">
        <v>47</v>
      </c>
    </row>
    <row r="58" spans="1:19" x14ac:dyDescent="0.35">
      <c r="A58" s="3" t="s">
        <v>0</v>
      </c>
      <c r="B58" s="3" t="s">
        <v>3</v>
      </c>
      <c r="C58" s="3" t="s">
        <v>4</v>
      </c>
      <c r="D58" s="3" t="s">
        <v>2</v>
      </c>
      <c r="E58" s="3" t="s">
        <v>5</v>
      </c>
      <c r="G58" s="3" t="s">
        <v>0</v>
      </c>
      <c r="H58" s="3" t="s">
        <v>3</v>
      </c>
      <c r="I58" s="3" t="s">
        <v>4</v>
      </c>
      <c r="J58" s="3" t="s">
        <v>2</v>
      </c>
      <c r="K58" s="3" t="s">
        <v>5</v>
      </c>
      <c r="L58" s="3" t="s">
        <v>42</v>
      </c>
      <c r="N58" s="3" t="s">
        <v>0</v>
      </c>
      <c r="O58" s="3" t="s">
        <v>3</v>
      </c>
      <c r="P58" s="3" t="s">
        <v>4</v>
      </c>
      <c r="Q58" s="3" t="s">
        <v>2</v>
      </c>
      <c r="R58" s="3" t="s">
        <v>5</v>
      </c>
      <c r="S58" s="3" t="s">
        <v>42</v>
      </c>
    </row>
    <row r="59" spans="1:19" x14ac:dyDescent="0.35">
      <c r="A59">
        <v>55</v>
      </c>
      <c r="B59">
        <v>75</v>
      </c>
      <c r="C59">
        <v>18</v>
      </c>
      <c r="D59">
        <v>94</v>
      </c>
      <c r="E59">
        <v>76</v>
      </c>
      <c r="G59">
        <v>55</v>
      </c>
      <c r="H59">
        <v>75</v>
      </c>
      <c r="I59">
        <v>18</v>
      </c>
      <c r="J59">
        <v>94</v>
      </c>
      <c r="K59">
        <v>76</v>
      </c>
      <c r="L59">
        <f>AVERAGE(G59:K59)</f>
        <v>63.6</v>
      </c>
      <c r="N59">
        <v>55</v>
      </c>
      <c r="O59">
        <v>75</v>
      </c>
      <c r="P59">
        <v>18</v>
      </c>
      <c r="Q59">
        <v>94</v>
      </c>
      <c r="R59">
        <v>76</v>
      </c>
      <c r="S59">
        <f>AVERAGE(N59:R59)</f>
        <v>63.6</v>
      </c>
    </row>
    <row r="60" spans="1:19" x14ac:dyDescent="0.35">
      <c r="A60">
        <v>68</v>
      </c>
      <c r="B60">
        <v>46</v>
      </c>
      <c r="C60">
        <v>46</v>
      </c>
      <c r="D60">
        <v>94</v>
      </c>
      <c r="E60">
        <v>13</v>
      </c>
      <c r="G60">
        <v>68</v>
      </c>
      <c r="H60">
        <v>46</v>
      </c>
      <c r="I60">
        <v>46</v>
      </c>
      <c r="J60">
        <v>94</v>
      </c>
      <c r="K60">
        <v>13</v>
      </c>
      <c r="L60">
        <f t="shared" ref="L60:L68" si="4">AVERAGE(G60:K60)</f>
        <v>53.4</v>
      </c>
      <c r="N60">
        <v>68</v>
      </c>
      <c r="O60">
        <v>46</v>
      </c>
      <c r="P60">
        <v>46</v>
      </c>
      <c r="Q60">
        <v>94</v>
      </c>
      <c r="R60">
        <v>13</v>
      </c>
      <c r="S60">
        <f t="shared" ref="S60:S68" si="5">AVERAGE(N60:R60)</f>
        <v>53.4</v>
      </c>
    </row>
    <row r="61" spans="1:19" x14ac:dyDescent="0.35">
      <c r="A61">
        <v>97</v>
      </c>
      <c r="B61">
        <v>12</v>
      </c>
      <c r="C61">
        <v>75</v>
      </c>
      <c r="D61">
        <v>46</v>
      </c>
      <c r="E61">
        <v>76</v>
      </c>
      <c r="G61">
        <v>97</v>
      </c>
      <c r="H61">
        <v>12</v>
      </c>
      <c r="I61">
        <v>75</v>
      </c>
      <c r="J61">
        <v>46</v>
      </c>
      <c r="K61">
        <v>76</v>
      </c>
      <c r="L61">
        <f t="shared" si="4"/>
        <v>61.2</v>
      </c>
      <c r="N61">
        <v>97</v>
      </c>
      <c r="O61">
        <v>12</v>
      </c>
      <c r="P61">
        <v>75</v>
      </c>
      <c r="Q61">
        <v>46</v>
      </c>
      <c r="R61" s="41">
        <v>10</v>
      </c>
      <c r="S61">
        <f t="shared" si="5"/>
        <v>48</v>
      </c>
    </row>
    <row r="62" spans="1:19" x14ac:dyDescent="0.35">
      <c r="A62">
        <v>34</v>
      </c>
      <c r="B62">
        <v>78</v>
      </c>
      <c r="C62">
        <v>94</v>
      </c>
      <c r="D62">
        <v>45</v>
      </c>
      <c r="E62">
        <v>16</v>
      </c>
      <c r="G62">
        <v>34</v>
      </c>
      <c r="H62">
        <v>78</v>
      </c>
      <c r="I62">
        <v>94</v>
      </c>
      <c r="J62">
        <v>45</v>
      </c>
      <c r="K62">
        <v>16</v>
      </c>
      <c r="L62">
        <f t="shared" si="4"/>
        <v>53.4</v>
      </c>
      <c r="N62">
        <v>34</v>
      </c>
      <c r="O62">
        <v>78</v>
      </c>
      <c r="P62">
        <v>94</v>
      </c>
      <c r="Q62">
        <v>45</v>
      </c>
      <c r="R62">
        <v>16</v>
      </c>
      <c r="S62">
        <f t="shared" si="5"/>
        <v>53.4</v>
      </c>
    </row>
    <row r="63" spans="1:19" x14ac:dyDescent="0.35">
      <c r="A63">
        <v>58</v>
      </c>
      <c r="B63">
        <v>89</v>
      </c>
      <c r="C63">
        <v>16</v>
      </c>
      <c r="D63">
        <v>73</v>
      </c>
      <c r="E63">
        <v>94</v>
      </c>
      <c r="G63">
        <v>58</v>
      </c>
      <c r="H63">
        <v>89</v>
      </c>
      <c r="I63">
        <v>16</v>
      </c>
      <c r="J63">
        <v>73</v>
      </c>
      <c r="K63">
        <v>94</v>
      </c>
      <c r="L63">
        <f t="shared" si="4"/>
        <v>66</v>
      </c>
      <c r="N63">
        <v>58</v>
      </c>
      <c r="O63">
        <v>89</v>
      </c>
      <c r="P63" s="41">
        <v>60</v>
      </c>
      <c r="Q63">
        <v>73</v>
      </c>
      <c r="R63">
        <v>94</v>
      </c>
      <c r="S63">
        <f t="shared" si="5"/>
        <v>74.8</v>
      </c>
    </row>
    <row r="64" spans="1:19" x14ac:dyDescent="0.35">
      <c r="A64">
        <v>34</v>
      </c>
      <c r="B64">
        <v>75</v>
      </c>
      <c r="C64">
        <v>46</v>
      </c>
      <c r="D64">
        <v>45</v>
      </c>
      <c r="E64">
        <v>34</v>
      </c>
      <c r="G64">
        <v>34</v>
      </c>
      <c r="H64">
        <v>75</v>
      </c>
      <c r="I64">
        <v>46</v>
      </c>
      <c r="J64">
        <v>45</v>
      </c>
      <c r="K64">
        <v>34</v>
      </c>
      <c r="L64">
        <f t="shared" si="4"/>
        <v>46.8</v>
      </c>
      <c r="N64">
        <v>34</v>
      </c>
      <c r="O64">
        <v>75</v>
      </c>
      <c r="P64">
        <v>46</v>
      </c>
      <c r="Q64">
        <v>45</v>
      </c>
      <c r="R64">
        <v>34</v>
      </c>
      <c r="S64">
        <f t="shared" si="5"/>
        <v>46.8</v>
      </c>
    </row>
    <row r="65" spans="1:19" x14ac:dyDescent="0.35">
      <c r="A65">
        <v>67</v>
      </c>
      <c r="B65">
        <v>94</v>
      </c>
      <c r="C65">
        <v>76</v>
      </c>
      <c r="D65">
        <v>44</v>
      </c>
      <c r="E65">
        <v>81</v>
      </c>
      <c r="G65">
        <v>67</v>
      </c>
      <c r="H65">
        <v>94</v>
      </c>
      <c r="I65">
        <v>76</v>
      </c>
      <c r="J65">
        <v>44</v>
      </c>
      <c r="K65">
        <v>81</v>
      </c>
      <c r="L65">
        <f t="shared" si="4"/>
        <v>72.400000000000006</v>
      </c>
      <c r="N65">
        <v>67</v>
      </c>
      <c r="O65">
        <v>94</v>
      </c>
      <c r="P65">
        <v>76</v>
      </c>
      <c r="Q65">
        <v>44</v>
      </c>
      <c r="R65">
        <v>81</v>
      </c>
      <c r="S65">
        <f t="shared" si="5"/>
        <v>72.400000000000006</v>
      </c>
    </row>
    <row r="66" spans="1:19" x14ac:dyDescent="0.35">
      <c r="A66">
        <v>97</v>
      </c>
      <c r="B66">
        <v>34</v>
      </c>
      <c r="C66">
        <v>79</v>
      </c>
      <c r="D66">
        <v>88</v>
      </c>
      <c r="E66">
        <v>29</v>
      </c>
      <c r="G66">
        <v>97</v>
      </c>
      <c r="H66">
        <v>34</v>
      </c>
      <c r="I66">
        <v>79</v>
      </c>
      <c r="J66">
        <v>88</v>
      </c>
      <c r="K66">
        <v>29</v>
      </c>
      <c r="L66">
        <f t="shared" si="4"/>
        <v>65.400000000000006</v>
      </c>
      <c r="N66">
        <v>97</v>
      </c>
      <c r="O66">
        <v>34</v>
      </c>
      <c r="P66">
        <v>79</v>
      </c>
      <c r="Q66">
        <v>88</v>
      </c>
      <c r="R66">
        <v>29</v>
      </c>
      <c r="S66">
        <f t="shared" si="5"/>
        <v>65.400000000000006</v>
      </c>
    </row>
    <row r="67" spans="1:19" x14ac:dyDescent="0.35">
      <c r="A67">
        <v>86</v>
      </c>
      <c r="B67">
        <v>18</v>
      </c>
      <c r="C67">
        <v>64</v>
      </c>
      <c r="D67">
        <v>97</v>
      </c>
      <c r="E67">
        <v>37</v>
      </c>
      <c r="G67">
        <v>86</v>
      </c>
      <c r="H67">
        <v>18</v>
      </c>
      <c r="I67">
        <v>64</v>
      </c>
      <c r="J67">
        <v>97</v>
      </c>
      <c r="K67">
        <v>37</v>
      </c>
      <c r="L67">
        <f t="shared" si="4"/>
        <v>60.4</v>
      </c>
      <c r="N67">
        <v>86</v>
      </c>
      <c r="O67">
        <v>18</v>
      </c>
      <c r="P67">
        <v>64</v>
      </c>
      <c r="Q67" s="41">
        <v>50</v>
      </c>
      <c r="R67">
        <v>37</v>
      </c>
      <c r="S67">
        <f t="shared" si="5"/>
        <v>51</v>
      </c>
    </row>
    <row r="68" spans="1:19" x14ac:dyDescent="0.35">
      <c r="A68">
        <v>94</v>
      </c>
      <c r="B68">
        <v>46</v>
      </c>
      <c r="C68">
        <v>67</v>
      </c>
      <c r="D68">
        <v>94</v>
      </c>
      <c r="E68">
        <v>39</v>
      </c>
      <c r="G68">
        <v>94</v>
      </c>
      <c r="H68">
        <v>46</v>
      </c>
      <c r="I68">
        <v>67</v>
      </c>
      <c r="J68">
        <v>94</v>
      </c>
      <c r="K68">
        <v>39</v>
      </c>
      <c r="L68">
        <f t="shared" si="4"/>
        <v>68</v>
      </c>
      <c r="N68">
        <v>94</v>
      </c>
      <c r="O68">
        <v>46</v>
      </c>
      <c r="P68">
        <v>67</v>
      </c>
      <c r="Q68">
        <v>94</v>
      </c>
      <c r="R68">
        <v>39</v>
      </c>
      <c r="S68">
        <f t="shared" si="5"/>
        <v>68</v>
      </c>
    </row>
    <row r="69" spans="1:19" x14ac:dyDescent="0.35">
      <c r="A69" t="s">
        <v>53</v>
      </c>
      <c r="G69" t="s">
        <v>54</v>
      </c>
      <c r="O69" t="s">
        <v>55</v>
      </c>
    </row>
  </sheetData>
  <conditionalFormatting sqref="A4:E13">
    <cfRule type="cellIs" dxfId="17" priority="21" operator="greaterThan">
      <formula>30</formula>
    </cfRule>
  </conditionalFormatting>
  <conditionalFormatting sqref="A17:E26">
    <cfRule type="cellIs" dxfId="16" priority="19" operator="between">
      <formula>40</formula>
      <formula>60</formula>
    </cfRule>
  </conditionalFormatting>
  <conditionalFormatting sqref="A30:E39">
    <cfRule type="top10" dxfId="15" priority="14" rank="3"/>
    <cfRule type="top10" priority="15" rank="3"/>
  </conditionalFormatting>
  <conditionalFormatting sqref="A44:E53">
    <cfRule type="top10" dxfId="14" priority="11" bottom="1" rank="10"/>
  </conditionalFormatting>
  <conditionalFormatting sqref="A59:E68">
    <cfRule type="aboveAverage" dxfId="13" priority="9" aboveAverage="0"/>
  </conditionalFormatting>
  <conditionalFormatting sqref="G4:K13">
    <cfRule type="cellIs" dxfId="12" priority="20" operator="lessThan">
      <formula>40</formula>
    </cfRule>
  </conditionalFormatting>
  <conditionalFormatting sqref="G17:K26">
    <cfRule type="iconSet" priority="17">
      <iconSet iconSet="3TrafficLights2">
        <cfvo type="percent" val="0"/>
        <cfvo type="percent" val="33"/>
        <cfvo type="percent" val="67"/>
      </iconSet>
    </cfRule>
    <cfRule type="cellIs" dxfId="11" priority="18" operator="equal">
      <formula>44</formula>
    </cfRule>
  </conditionalFormatting>
  <conditionalFormatting sqref="G30:L3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{7B8FB1E3-7EC8-4118-A823-361677F586E1}</x14:id>
        </ext>
      </extLst>
    </cfRule>
    <cfRule type="colorScale" priority="13">
      <colorScale>
        <cfvo type="min"/>
        <cfvo type="max"/>
        <color rgb="FFF8696B"/>
        <color rgb="FFFCFCFF"/>
      </colorScale>
    </cfRule>
  </conditionalFormatting>
  <conditionalFormatting sqref="G44:L5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{17A2C93F-84CA-4D29-AA61-E1CEE46C97C1}</x14:id>
        </ext>
      </extLst>
    </cfRule>
  </conditionalFormatting>
  <conditionalFormatting sqref="G59:L68">
    <cfRule type="top10" dxfId="10" priority="5" percent="1" rank="8"/>
  </conditionalFormatting>
  <conditionalFormatting sqref="M4:Q13">
    <cfRule type="duplicateValues" dxfId="9" priority="1"/>
  </conditionalFormatting>
  <conditionalFormatting sqref="M17:Q26">
    <cfRule type="containsText" dxfId="8" priority="16" operator="containsText" text="n">
      <formula>NOT(ISERROR(SEARCH("n",M17)))</formula>
    </cfRule>
  </conditionalFormatting>
  <conditionalFormatting sqref="N30:S39">
    <cfRule type="top10" dxfId="7" priority="3" percent="1" bottom="1" rank="5"/>
    <cfRule type="top10" dxfId="6" priority="6" percent="1" bottom="1" rank="5"/>
    <cfRule type="top10" dxfId="5" priority="7" percent="1" bottom="1" rank="5"/>
    <cfRule type="top10" dxfId="4" priority="12" percent="1" bottom="1" rank="5"/>
  </conditionalFormatting>
  <conditionalFormatting sqref="N44:S53">
    <cfRule type="timePeriod" dxfId="3" priority="4" timePeriod="today">
      <formula>FLOOR(N44,1)=TODAY()</formula>
    </cfRule>
    <cfRule type="timePeriod" dxfId="2" priority="23" timePeriod="yesterday">
      <formula>FLOOR(N44,1)=TODAY()-1</formula>
    </cfRule>
  </conditionalFormatting>
  <conditionalFormatting sqref="N59:S68">
    <cfRule type="top10" dxfId="1" priority="8" rank="10"/>
    <cfRule type="timePeriod" dxfId="0" priority="22" timePeriod="yesterday">
      <formula>FLOOR(N59,1)=TODAY()-1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8FB1E3-7EC8-4118-A823-361677F58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G30:L39</xm:sqref>
        </x14:conditionalFormatting>
        <x14:conditionalFormatting xmlns:xm="http://schemas.microsoft.com/office/excel/2006/main">
          <x14:cfRule type="dataBar" id="{17A2C93F-84CA-4D29-AA61-E1CEE46C97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G44:L53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51FD-1F88-4A1C-ABAC-C75A94E58C32}">
  <dimension ref="A1:M20"/>
  <sheetViews>
    <sheetView topLeftCell="G1" workbookViewId="0">
      <selection activeCell="M8" sqref="M8:M11"/>
    </sheetView>
  </sheetViews>
  <sheetFormatPr defaultRowHeight="14.5" x14ac:dyDescent="0.35"/>
  <cols>
    <col min="1" max="1" width="8.453125" customWidth="1"/>
    <col min="2" max="2" width="12.1796875" customWidth="1"/>
    <col min="3" max="3" width="12.26953125" customWidth="1"/>
    <col min="4" max="4" width="12.54296875" customWidth="1"/>
    <col min="5" max="5" width="10.453125" customWidth="1"/>
    <col min="6" max="6" width="10.81640625" customWidth="1"/>
    <col min="7" max="7" width="12.7265625" customWidth="1"/>
    <col min="8" max="8" width="16.1796875" customWidth="1"/>
    <col min="9" max="9" width="23.26953125" customWidth="1"/>
    <col min="10" max="10" width="36.7265625" customWidth="1"/>
    <col min="11" max="11" width="23.1796875" customWidth="1"/>
    <col min="12" max="12" width="48" customWidth="1"/>
    <col min="13" max="13" width="25.26953125" customWidth="1"/>
  </cols>
  <sheetData>
    <row r="1" spans="1:13" ht="23.5" x14ac:dyDescent="0.55000000000000004">
      <c r="A1" s="4" t="s">
        <v>0</v>
      </c>
      <c r="B1" s="4" t="s">
        <v>3</v>
      </c>
      <c r="C1" s="4" t="s">
        <v>4</v>
      </c>
      <c r="D1" s="4" t="s">
        <v>2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63</v>
      </c>
      <c r="J1" s="4" t="s">
        <v>64</v>
      </c>
      <c r="K1" s="4" t="s">
        <v>57</v>
      </c>
      <c r="L1" s="4" t="s">
        <v>56</v>
      </c>
      <c r="M1" s="4" t="s">
        <v>58</v>
      </c>
    </row>
    <row r="2" spans="1:13" ht="15.5" x14ac:dyDescent="0.35">
      <c r="A2" s="6">
        <v>55</v>
      </c>
      <c r="B2" s="6">
        <v>75</v>
      </c>
      <c r="C2" s="6">
        <v>18</v>
      </c>
      <c r="D2" s="6">
        <v>94</v>
      </c>
      <c r="E2" s="6">
        <v>76</v>
      </c>
      <c r="F2" s="7">
        <f>SUM(A2:E2)</f>
        <v>318</v>
      </c>
      <c r="G2" s="8">
        <f>AVERAGE(A2:E2)</f>
        <v>63.6</v>
      </c>
      <c r="H2" s="7" t="str">
        <f>IF(G2&gt;65,"passed","failed")</f>
        <v>failed</v>
      </c>
      <c r="I2" s="8">
        <f>COUNTIF(H2:H11,"passed")</f>
        <v>4</v>
      </c>
      <c r="J2" s="7">
        <f>COUNTIF(H2:H11,"failed")</f>
        <v>6</v>
      </c>
      <c r="K2" s="42">
        <f>MIN(F2:F11)</f>
        <v>234</v>
      </c>
      <c r="L2" s="42">
        <f>COUNT(A2:A11)</f>
        <v>10</v>
      </c>
      <c r="M2" s="42">
        <f>MAX(F2:F11)</f>
        <v>362</v>
      </c>
    </row>
    <row r="3" spans="1:13" ht="15.5" x14ac:dyDescent="0.35">
      <c r="A3" s="6">
        <v>68</v>
      </c>
      <c r="B3" s="6">
        <v>46</v>
      </c>
      <c r="C3" s="6">
        <v>46</v>
      </c>
      <c r="D3" s="6">
        <v>94</v>
      </c>
      <c r="E3" s="6">
        <v>13</v>
      </c>
      <c r="F3" s="7">
        <f t="shared" ref="F3:F11" si="0">SUM(A3:E3)</f>
        <v>267</v>
      </c>
      <c r="G3" s="8">
        <f t="shared" ref="G3:G11" si="1">AVERAGE(A3:E3)</f>
        <v>53.4</v>
      </c>
      <c r="H3" s="7" t="str">
        <f t="shared" ref="H3:H11" si="2">IF(G3&gt;65,"passed","failed")</f>
        <v>failed</v>
      </c>
      <c r="I3" s="8"/>
      <c r="J3" s="7"/>
      <c r="K3" s="42">
        <f t="shared" ref="K3:K11" si="3">MIN(F3:F12)</f>
        <v>234</v>
      </c>
      <c r="L3" s="42"/>
      <c r="M3" s="42"/>
    </row>
    <row r="4" spans="1:13" ht="15.5" x14ac:dyDescent="0.35">
      <c r="A4" s="6">
        <v>97</v>
      </c>
      <c r="B4" s="6">
        <v>12</v>
      </c>
      <c r="C4" s="6">
        <v>75</v>
      </c>
      <c r="D4" s="6">
        <v>46</v>
      </c>
      <c r="E4" s="6">
        <v>76</v>
      </c>
      <c r="F4" s="7">
        <f t="shared" si="0"/>
        <v>306</v>
      </c>
      <c r="G4" s="8">
        <f t="shared" si="1"/>
        <v>61.2</v>
      </c>
      <c r="H4" s="7" t="str">
        <f t="shared" si="2"/>
        <v>failed</v>
      </c>
      <c r="I4" s="8"/>
      <c r="J4" s="7"/>
      <c r="K4" s="42">
        <f t="shared" si="3"/>
        <v>234</v>
      </c>
      <c r="L4" s="42"/>
      <c r="M4" s="42"/>
    </row>
    <row r="5" spans="1:13" ht="15.5" x14ac:dyDescent="0.35">
      <c r="A5" s="6">
        <v>34</v>
      </c>
      <c r="B5" s="6">
        <v>78</v>
      </c>
      <c r="C5" s="6">
        <v>94</v>
      </c>
      <c r="D5" s="6">
        <v>45</v>
      </c>
      <c r="E5" s="6">
        <v>16</v>
      </c>
      <c r="F5" s="7">
        <f t="shared" si="0"/>
        <v>267</v>
      </c>
      <c r="G5" s="8">
        <f t="shared" si="1"/>
        <v>53.4</v>
      </c>
      <c r="H5" s="7" t="str">
        <f t="shared" si="2"/>
        <v>failed</v>
      </c>
      <c r="I5" s="8"/>
      <c r="J5" s="7"/>
      <c r="K5" s="42">
        <f t="shared" si="3"/>
        <v>234</v>
      </c>
      <c r="L5" s="42"/>
      <c r="M5" s="42"/>
    </row>
    <row r="6" spans="1:13" ht="15.5" x14ac:dyDescent="0.35">
      <c r="A6" s="6">
        <v>58</v>
      </c>
      <c r="B6" s="6">
        <v>89</v>
      </c>
      <c r="C6" s="6">
        <v>16</v>
      </c>
      <c r="D6" s="6">
        <v>73</v>
      </c>
      <c r="E6" s="6">
        <v>94</v>
      </c>
      <c r="F6" s="7">
        <f t="shared" si="0"/>
        <v>330</v>
      </c>
      <c r="G6" s="8">
        <f t="shared" si="1"/>
        <v>66</v>
      </c>
      <c r="H6" s="7" t="str">
        <f t="shared" si="2"/>
        <v>passed</v>
      </c>
      <c r="I6" s="8"/>
      <c r="J6" s="7"/>
      <c r="K6" s="42">
        <f t="shared" si="3"/>
        <v>234</v>
      </c>
      <c r="L6" s="42"/>
      <c r="M6" s="42"/>
    </row>
    <row r="7" spans="1:13" ht="15.5" x14ac:dyDescent="0.35">
      <c r="A7" s="6">
        <v>34</v>
      </c>
      <c r="B7" s="6">
        <v>75</v>
      </c>
      <c r="C7" s="6">
        <v>46</v>
      </c>
      <c r="D7" s="6">
        <v>45</v>
      </c>
      <c r="E7" s="6">
        <v>34</v>
      </c>
      <c r="F7" s="7">
        <f t="shared" si="0"/>
        <v>234</v>
      </c>
      <c r="G7" s="8">
        <f t="shared" si="1"/>
        <v>46.8</v>
      </c>
      <c r="H7" s="7" t="str">
        <f t="shared" si="2"/>
        <v>failed</v>
      </c>
      <c r="I7" s="8"/>
      <c r="J7" s="7"/>
      <c r="K7" s="42">
        <f t="shared" si="3"/>
        <v>234</v>
      </c>
      <c r="L7" s="42"/>
      <c r="M7" s="42"/>
    </row>
    <row r="8" spans="1:13" ht="15.5" x14ac:dyDescent="0.35">
      <c r="A8" s="6">
        <v>67</v>
      </c>
      <c r="B8" s="6">
        <v>94</v>
      </c>
      <c r="C8" s="6">
        <v>76</v>
      </c>
      <c r="D8" s="6">
        <v>44</v>
      </c>
      <c r="E8" s="6">
        <v>81</v>
      </c>
      <c r="F8" s="7">
        <f t="shared" si="0"/>
        <v>362</v>
      </c>
      <c r="G8" s="8">
        <f t="shared" si="1"/>
        <v>72.400000000000006</v>
      </c>
      <c r="H8" s="7" t="str">
        <f t="shared" si="2"/>
        <v>passed</v>
      </c>
      <c r="I8" s="8"/>
      <c r="J8" s="7"/>
      <c r="K8" s="42">
        <f t="shared" si="3"/>
        <v>302</v>
      </c>
      <c r="L8" s="42"/>
      <c r="M8" s="42"/>
    </row>
    <row r="9" spans="1:13" ht="15.5" x14ac:dyDescent="0.35">
      <c r="A9" s="6">
        <v>97</v>
      </c>
      <c r="B9" s="6">
        <v>34</v>
      </c>
      <c r="C9" s="6">
        <v>79</v>
      </c>
      <c r="D9" s="6">
        <v>88</v>
      </c>
      <c r="E9" s="6">
        <v>29</v>
      </c>
      <c r="F9" s="7">
        <f t="shared" si="0"/>
        <v>327</v>
      </c>
      <c r="G9" s="8">
        <f>AVERAGE(A9:E9)</f>
        <v>65.400000000000006</v>
      </c>
      <c r="H9" s="7" t="str">
        <f t="shared" si="2"/>
        <v>passed</v>
      </c>
      <c r="I9" s="8"/>
      <c r="J9" s="7"/>
      <c r="K9" s="42">
        <f t="shared" si="3"/>
        <v>302</v>
      </c>
      <c r="L9" s="42"/>
      <c r="M9" s="42"/>
    </row>
    <row r="10" spans="1:13" ht="15.5" x14ac:dyDescent="0.35">
      <c r="A10" s="6">
        <v>86</v>
      </c>
      <c r="B10" s="6">
        <v>18</v>
      </c>
      <c r="C10" s="6">
        <v>64</v>
      </c>
      <c r="D10" s="6">
        <v>97</v>
      </c>
      <c r="E10" s="6">
        <v>37</v>
      </c>
      <c r="F10" s="7">
        <f t="shared" si="0"/>
        <v>302</v>
      </c>
      <c r="G10" s="8">
        <f t="shared" si="1"/>
        <v>60.4</v>
      </c>
      <c r="H10" s="7" t="str">
        <f t="shared" si="2"/>
        <v>failed</v>
      </c>
      <c r="I10" s="8"/>
      <c r="J10" s="7"/>
      <c r="K10" s="42">
        <f t="shared" si="3"/>
        <v>302</v>
      </c>
      <c r="L10" s="42"/>
      <c r="M10" s="42"/>
    </row>
    <row r="11" spans="1:13" ht="15.5" x14ac:dyDescent="0.35">
      <c r="A11" s="6">
        <v>94</v>
      </c>
      <c r="B11" s="6">
        <v>46</v>
      </c>
      <c r="C11" s="6">
        <v>67</v>
      </c>
      <c r="D11" s="6">
        <v>94</v>
      </c>
      <c r="E11" s="6">
        <v>39</v>
      </c>
      <c r="F11" s="7">
        <f t="shared" si="0"/>
        <v>340</v>
      </c>
      <c r="G11" s="8">
        <f t="shared" si="1"/>
        <v>68</v>
      </c>
      <c r="H11" s="7" t="str">
        <f t="shared" si="2"/>
        <v>passed</v>
      </c>
      <c r="I11" s="8"/>
      <c r="J11" s="7"/>
      <c r="K11" s="42">
        <f t="shared" si="3"/>
        <v>340</v>
      </c>
      <c r="L11" s="42"/>
      <c r="M11" s="42"/>
    </row>
    <row r="13" spans="1:13" ht="26" x14ac:dyDescent="0.6">
      <c r="A13" s="5"/>
      <c r="B13" s="5" t="s">
        <v>59</v>
      </c>
      <c r="C13" s="5"/>
      <c r="D13" s="5"/>
      <c r="E13" s="5"/>
      <c r="F13" s="5"/>
      <c r="G13" s="5"/>
      <c r="H13" s="5"/>
      <c r="I13" s="5"/>
      <c r="J13" s="5"/>
    </row>
    <row r="14" spans="1:13" ht="18.5" x14ac:dyDescent="0.45">
      <c r="A14" s="29" t="s">
        <v>60</v>
      </c>
      <c r="B14" s="29"/>
      <c r="C14" s="29"/>
      <c r="D14" s="29"/>
      <c r="E14" s="29"/>
      <c r="F14" s="29"/>
      <c r="G14" s="29"/>
      <c r="H14" s="29"/>
      <c r="I14" s="29"/>
    </row>
    <row r="15" spans="1:13" ht="18.5" x14ac:dyDescent="0.45">
      <c r="A15" s="29" t="s">
        <v>61</v>
      </c>
      <c r="B15" s="29"/>
      <c r="C15" s="29"/>
      <c r="D15" s="29"/>
      <c r="E15" s="29"/>
      <c r="F15" s="29"/>
      <c r="G15" s="29"/>
      <c r="H15" s="29"/>
      <c r="I15" s="29"/>
    </row>
    <row r="16" spans="1:13" ht="26" x14ac:dyDescent="0.6">
      <c r="A16" s="43" t="s">
        <v>62</v>
      </c>
      <c r="B16" s="43"/>
      <c r="C16" s="43"/>
      <c r="D16" s="29"/>
      <c r="E16" s="29"/>
      <c r="F16" s="29"/>
      <c r="G16" s="29"/>
      <c r="H16" s="29"/>
      <c r="I16" s="29"/>
      <c r="J16" s="5"/>
    </row>
    <row r="19" spans="1:10" ht="26" x14ac:dyDescent="0.6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spans="1:10" ht="26" x14ac:dyDescent="0.6">
      <c r="A20" s="46"/>
      <c r="B20" s="46"/>
      <c r="C20" s="46"/>
      <c r="D20" s="5"/>
      <c r="E20" s="5"/>
      <c r="F20" s="5"/>
      <c r="G20" s="5"/>
      <c r="H20" s="5"/>
      <c r="I20" s="5"/>
      <c r="J20" s="5"/>
    </row>
  </sheetData>
  <mergeCells count="2">
    <mergeCell ref="A20:C20"/>
    <mergeCell ref="A19:J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D9BE-5A86-458C-B508-9C78A8C37E1A}">
  <dimension ref="C3:F16"/>
  <sheetViews>
    <sheetView topLeftCell="B4" workbookViewId="0">
      <selection activeCell="D7" sqref="D7"/>
    </sheetView>
  </sheetViews>
  <sheetFormatPr defaultRowHeight="14.5" x14ac:dyDescent="0.35"/>
  <cols>
    <col min="3" max="3" width="22.81640625" customWidth="1"/>
    <col min="4" max="4" width="28.7265625" customWidth="1"/>
    <col min="5" max="5" width="23" customWidth="1"/>
    <col min="6" max="6" width="33.7265625" customWidth="1"/>
  </cols>
  <sheetData>
    <row r="3" spans="3:6" ht="18.5" x14ac:dyDescent="0.45">
      <c r="C3" s="9"/>
      <c r="D3" s="9"/>
      <c r="E3" s="9"/>
      <c r="F3" s="9"/>
    </row>
    <row r="4" spans="3:6" ht="33.5" x14ac:dyDescent="0.75">
      <c r="C4" s="10"/>
      <c r="D4" s="13" t="s">
        <v>9</v>
      </c>
      <c r="E4" s="11"/>
      <c r="F4" s="11"/>
    </row>
    <row r="5" spans="3:6" ht="18.5" x14ac:dyDescent="0.45">
      <c r="C5" s="9"/>
      <c r="D5" s="9"/>
      <c r="E5" s="9"/>
      <c r="F5" s="9"/>
    </row>
    <row r="6" spans="3:6" ht="18.5" x14ac:dyDescent="0.45">
      <c r="C6" s="12" t="s">
        <v>10</v>
      </c>
      <c r="D6" s="12" t="s">
        <v>11</v>
      </c>
      <c r="E6" s="12" t="s">
        <v>12</v>
      </c>
      <c r="F6" s="12" t="s">
        <v>13</v>
      </c>
    </row>
    <row r="7" spans="3:6" ht="28.5" x14ac:dyDescent="0.65">
      <c r="C7" s="2" t="s">
        <v>14</v>
      </c>
      <c r="D7" s="2">
        <f>F7/E7</f>
        <v>144</v>
      </c>
      <c r="E7" s="2">
        <v>55</v>
      </c>
      <c r="F7" s="2">
        <v>7920</v>
      </c>
    </row>
    <row r="8" spans="3:6" ht="28.5" x14ac:dyDescent="0.65">
      <c r="C8" s="2" t="s">
        <v>15</v>
      </c>
      <c r="D8" s="2">
        <f t="shared" ref="D8:D13" si="0">F8/E8</f>
        <v>133</v>
      </c>
      <c r="E8" s="2">
        <v>64</v>
      </c>
      <c r="F8" s="2">
        <v>8512</v>
      </c>
    </row>
    <row r="9" spans="3:6" ht="28.5" x14ac:dyDescent="0.65">
      <c r="C9" s="2" t="s">
        <v>16</v>
      </c>
      <c r="D9" s="2">
        <f t="shared" si="0"/>
        <v>90</v>
      </c>
      <c r="E9" s="2">
        <v>9</v>
      </c>
      <c r="F9" s="2">
        <v>810</v>
      </c>
    </row>
    <row r="10" spans="3:6" ht="28.5" x14ac:dyDescent="0.65">
      <c r="C10" s="2" t="s">
        <v>17</v>
      </c>
      <c r="D10" s="2">
        <f t="shared" si="0"/>
        <v>140</v>
      </c>
      <c r="E10" s="2">
        <v>53</v>
      </c>
      <c r="F10" s="2">
        <v>7420</v>
      </c>
    </row>
    <row r="11" spans="3:6" ht="28.5" x14ac:dyDescent="0.65">
      <c r="C11" s="2" t="s">
        <v>18</v>
      </c>
      <c r="D11" s="2">
        <f t="shared" si="0"/>
        <v>101</v>
      </c>
      <c r="E11" s="2">
        <v>64</v>
      </c>
      <c r="F11" s="2">
        <v>6464</v>
      </c>
    </row>
    <row r="12" spans="3:6" ht="28.5" x14ac:dyDescent="0.65">
      <c r="C12" s="2" t="s">
        <v>19</v>
      </c>
      <c r="D12" s="2">
        <f t="shared" si="0"/>
        <v>97</v>
      </c>
      <c r="E12" s="2">
        <v>51</v>
      </c>
      <c r="F12" s="2">
        <v>4947</v>
      </c>
    </row>
    <row r="13" spans="3:6" ht="28.5" x14ac:dyDescent="0.65">
      <c r="C13" s="2" t="s">
        <v>20</v>
      </c>
      <c r="D13" s="2">
        <f t="shared" si="0"/>
        <v>64</v>
      </c>
      <c r="E13" s="2">
        <v>50</v>
      </c>
      <c r="F13" s="2">
        <v>3200</v>
      </c>
    </row>
    <row r="16" spans="3:6" ht="31" x14ac:dyDescent="0.7">
      <c r="C16" s="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F828-E551-4D3B-970D-4951E708DE09}">
  <dimension ref="C2:H13"/>
  <sheetViews>
    <sheetView tabSelected="1" workbookViewId="0">
      <selection activeCell="K9" sqref="K9"/>
    </sheetView>
  </sheetViews>
  <sheetFormatPr defaultRowHeight="14.5" x14ac:dyDescent="0.35"/>
  <cols>
    <col min="4" max="4" width="47" customWidth="1"/>
    <col min="5" max="5" width="20.81640625" customWidth="1"/>
    <col min="8" max="8" width="50.1796875" customWidth="1"/>
    <col min="9" max="9" width="44.453125" customWidth="1"/>
  </cols>
  <sheetData>
    <row r="2" spans="3:8" ht="28.5" x14ac:dyDescent="0.65">
      <c r="D2" s="14" t="s">
        <v>21</v>
      </c>
      <c r="E2" s="15"/>
    </row>
    <row r="3" spans="3:8" ht="28.5" x14ac:dyDescent="0.65">
      <c r="D3" s="16"/>
      <c r="E3" s="17"/>
      <c r="H3" s="18" t="s">
        <v>22</v>
      </c>
    </row>
    <row r="4" spans="3:8" ht="21" x14ac:dyDescent="0.5">
      <c r="H4" s="19">
        <v>0.1</v>
      </c>
    </row>
    <row r="6" spans="3:8" ht="23.5" x14ac:dyDescent="0.55000000000000004">
      <c r="C6" s="20" t="s">
        <v>23</v>
      </c>
      <c r="D6" s="20" t="s">
        <v>24</v>
      </c>
      <c r="E6" s="20" t="s">
        <v>25</v>
      </c>
    </row>
    <row r="7" spans="3:8" ht="21" x14ac:dyDescent="0.5">
      <c r="C7" s="21" t="s">
        <v>14</v>
      </c>
      <c r="D7" s="21">
        <f>E7/(1+$H$4)</f>
        <v>54.999999999999993</v>
      </c>
      <c r="E7" s="21">
        <v>60.5</v>
      </c>
    </row>
    <row r="8" spans="3:8" ht="21" x14ac:dyDescent="0.5">
      <c r="C8" s="21" t="s">
        <v>15</v>
      </c>
      <c r="D8" s="21">
        <f t="shared" ref="D8:D11" si="0">E8/(1+$H$4)</f>
        <v>64</v>
      </c>
      <c r="E8" s="21">
        <v>70.400000000000006</v>
      </c>
    </row>
    <row r="9" spans="3:8" ht="21" x14ac:dyDescent="0.5">
      <c r="C9" s="21" t="s">
        <v>16</v>
      </c>
      <c r="D9" s="21">
        <f t="shared" si="0"/>
        <v>48.999999999999993</v>
      </c>
      <c r="E9" s="21">
        <v>53.9</v>
      </c>
    </row>
    <row r="10" spans="3:8" ht="21" x14ac:dyDescent="0.5">
      <c r="C10" s="21" t="s">
        <v>17</v>
      </c>
      <c r="D10" s="21">
        <f t="shared" si="0"/>
        <v>52.999999999999993</v>
      </c>
      <c r="E10" s="21">
        <v>58.3</v>
      </c>
    </row>
    <row r="11" spans="3:8" ht="21" x14ac:dyDescent="0.5">
      <c r="C11" s="21" t="s">
        <v>18</v>
      </c>
      <c r="D11" s="21">
        <f t="shared" si="0"/>
        <v>64</v>
      </c>
      <c r="E11" s="21">
        <v>70.400000000000006</v>
      </c>
    </row>
    <row r="13" spans="3:8" ht="28.5" x14ac:dyDescent="0.65">
      <c r="C13" s="2" t="s">
        <v>66</v>
      </c>
      <c r="D13" s="2"/>
      <c r="E1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22BF-46AE-4CAB-8956-E9573F65D448}">
  <dimension ref="B3:T16"/>
  <sheetViews>
    <sheetView topLeftCell="A4" workbookViewId="0">
      <selection activeCell="F25" sqref="F25"/>
    </sheetView>
  </sheetViews>
  <sheetFormatPr defaultRowHeight="14.5" x14ac:dyDescent="0.35"/>
  <sheetData>
    <row r="3" spans="2:20" ht="38.5" x14ac:dyDescent="0.85">
      <c r="B3" s="22"/>
      <c r="C3" s="22"/>
      <c r="D3" s="22"/>
      <c r="E3" s="22"/>
      <c r="F3" s="23" t="s">
        <v>26</v>
      </c>
      <c r="G3" s="23"/>
      <c r="H3" s="23"/>
      <c r="I3" s="23"/>
      <c r="J3" s="22"/>
      <c r="K3" s="22"/>
      <c r="L3" s="22"/>
      <c r="M3" s="22"/>
      <c r="N3" s="24"/>
      <c r="O3" s="24"/>
      <c r="P3" s="24"/>
    </row>
    <row r="4" spans="2:20" ht="18.5" x14ac:dyDescent="0.45">
      <c r="G4" s="9" t="s">
        <v>27</v>
      </c>
    </row>
    <row r="5" spans="2:20" ht="19.5" x14ac:dyDescent="0.45">
      <c r="C5" s="25"/>
      <c r="D5" s="26">
        <v>1</v>
      </c>
      <c r="E5" s="26">
        <v>2</v>
      </c>
      <c r="F5" s="26">
        <v>3</v>
      </c>
      <c r="G5" s="26">
        <v>4</v>
      </c>
      <c r="H5" s="26">
        <v>5</v>
      </c>
      <c r="I5" s="26">
        <v>6</v>
      </c>
      <c r="J5" s="26">
        <v>7</v>
      </c>
      <c r="K5" s="26">
        <v>8</v>
      </c>
      <c r="L5" s="26">
        <v>9</v>
      </c>
      <c r="M5" s="26">
        <v>10</v>
      </c>
      <c r="N5" s="26">
        <v>11</v>
      </c>
      <c r="O5" s="26">
        <v>12</v>
      </c>
      <c r="P5" s="26">
        <v>13</v>
      </c>
      <c r="Q5" s="26">
        <v>14</v>
      </c>
      <c r="R5" s="26">
        <v>15</v>
      </c>
      <c r="S5" s="26">
        <v>16</v>
      </c>
      <c r="T5" s="26">
        <v>17</v>
      </c>
    </row>
    <row r="6" spans="2:20" ht="19.5" x14ac:dyDescent="0.45">
      <c r="C6" s="27">
        <v>2</v>
      </c>
      <c r="D6">
        <f>C$6*D$5</f>
        <v>2</v>
      </c>
      <c r="E6">
        <f>$C6*E$5</f>
        <v>4</v>
      </c>
      <c r="F6">
        <f t="shared" ref="F6:T14" si="0">$C6*F$5</f>
        <v>6</v>
      </c>
      <c r="G6">
        <f t="shared" si="0"/>
        <v>8</v>
      </c>
      <c r="H6">
        <f t="shared" si="0"/>
        <v>10</v>
      </c>
      <c r="I6">
        <f t="shared" si="0"/>
        <v>12</v>
      </c>
      <c r="J6">
        <f t="shared" si="0"/>
        <v>14</v>
      </c>
      <c r="K6">
        <f t="shared" si="0"/>
        <v>16</v>
      </c>
      <c r="L6">
        <f t="shared" si="0"/>
        <v>18</v>
      </c>
      <c r="M6">
        <f t="shared" si="0"/>
        <v>20</v>
      </c>
      <c r="N6">
        <f t="shared" si="0"/>
        <v>22</v>
      </c>
      <c r="O6">
        <f t="shared" si="0"/>
        <v>24</v>
      </c>
      <c r="P6">
        <f t="shared" si="0"/>
        <v>26</v>
      </c>
      <c r="Q6">
        <f t="shared" si="0"/>
        <v>28</v>
      </c>
      <c r="R6">
        <f t="shared" si="0"/>
        <v>30</v>
      </c>
      <c r="S6">
        <f t="shared" si="0"/>
        <v>32</v>
      </c>
      <c r="T6">
        <f t="shared" si="0"/>
        <v>34</v>
      </c>
    </row>
    <row r="7" spans="2:20" ht="19.5" x14ac:dyDescent="0.45">
      <c r="C7" s="27">
        <v>4</v>
      </c>
      <c r="D7">
        <f>C$7*D5</f>
        <v>4</v>
      </c>
      <c r="E7">
        <f t="shared" ref="E7:E14" si="1">$C7*E$5</f>
        <v>8</v>
      </c>
      <c r="F7">
        <f t="shared" si="0"/>
        <v>12</v>
      </c>
      <c r="G7">
        <f t="shared" si="0"/>
        <v>16</v>
      </c>
      <c r="H7">
        <f t="shared" si="0"/>
        <v>20</v>
      </c>
      <c r="I7">
        <f t="shared" si="0"/>
        <v>24</v>
      </c>
      <c r="J7">
        <f t="shared" si="0"/>
        <v>28</v>
      </c>
      <c r="K7">
        <f t="shared" si="0"/>
        <v>32</v>
      </c>
      <c r="L7">
        <f t="shared" si="0"/>
        <v>36</v>
      </c>
      <c r="M7">
        <f t="shared" si="0"/>
        <v>40</v>
      </c>
      <c r="N7">
        <f t="shared" si="0"/>
        <v>44</v>
      </c>
      <c r="O7">
        <f t="shared" si="0"/>
        <v>48</v>
      </c>
      <c r="P7">
        <f t="shared" si="0"/>
        <v>52</v>
      </c>
      <c r="Q7">
        <f t="shared" si="0"/>
        <v>56</v>
      </c>
      <c r="R7">
        <f t="shared" si="0"/>
        <v>60</v>
      </c>
      <c r="S7">
        <f t="shared" si="0"/>
        <v>64</v>
      </c>
      <c r="T7">
        <f t="shared" si="0"/>
        <v>68</v>
      </c>
    </row>
    <row r="8" spans="2:20" ht="19.5" x14ac:dyDescent="0.45">
      <c r="C8" s="27">
        <v>6</v>
      </c>
      <c r="D8">
        <f>C$8*D$5</f>
        <v>6</v>
      </c>
      <c r="E8">
        <f t="shared" si="1"/>
        <v>12</v>
      </c>
      <c r="F8">
        <f t="shared" si="0"/>
        <v>18</v>
      </c>
      <c r="G8">
        <f t="shared" si="0"/>
        <v>24</v>
      </c>
      <c r="H8">
        <f t="shared" si="0"/>
        <v>30</v>
      </c>
      <c r="I8">
        <f t="shared" si="0"/>
        <v>36</v>
      </c>
      <c r="J8">
        <f t="shared" si="0"/>
        <v>42</v>
      </c>
      <c r="K8">
        <f t="shared" si="0"/>
        <v>48</v>
      </c>
      <c r="L8">
        <f t="shared" si="0"/>
        <v>54</v>
      </c>
      <c r="M8">
        <f t="shared" si="0"/>
        <v>60</v>
      </c>
      <c r="N8">
        <f t="shared" si="0"/>
        <v>66</v>
      </c>
      <c r="O8">
        <f t="shared" si="0"/>
        <v>72</v>
      </c>
      <c r="P8">
        <f t="shared" si="0"/>
        <v>78</v>
      </c>
      <c r="Q8">
        <f t="shared" si="0"/>
        <v>84</v>
      </c>
      <c r="R8">
        <f t="shared" si="0"/>
        <v>90</v>
      </c>
      <c r="S8">
        <f t="shared" si="0"/>
        <v>96</v>
      </c>
      <c r="T8">
        <f t="shared" si="0"/>
        <v>102</v>
      </c>
    </row>
    <row r="9" spans="2:20" ht="19.5" x14ac:dyDescent="0.45">
      <c r="C9" s="27">
        <v>8</v>
      </c>
      <c r="D9">
        <f>C$9*D$5</f>
        <v>8</v>
      </c>
      <c r="E9">
        <f t="shared" si="1"/>
        <v>16</v>
      </c>
      <c r="F9">
        <f t="shared" si="0"/>
        <v>24</v>
      </c>
      <c r="G9">
        <f t="shared" si="0"/>
        <v>32</v>
      </c>
      <c r="H9">
        <f t="shared" si="0"/>
        <v>40</v>
      </c>
      <c r="I9">
        <f t="shared" si="0"/>
        <v>48</v>
      </c>
      <c r="J9">
        <f t="shared" si="0"/>
        <v>56</v>
      </c>
      <c r="K9">
        <f t="shared" si="0"/>
        <v>64</v>
      </c>
      <c r="L9">
        <f t="shared" si="0"/>
        <v>72</v>
      </c>
      <c r="M9">
        <f t="shared" si="0"/>
        <v>80</v>
      </c>
      <c r="N9">
        <f t="shared" si="0"/>
        <v>88</v>
      </c>
      <c r="O9">
        <f t="shared" si="0"/>
        <v>96</v>
      </c>
      <c r="P9">
        <f t="shared" si="0"/>
        <v>104</v>
      </c>
      <c r="Q9">
        <f t="shared" si="0"/>
        <v>112</v>
      </c>
      <c r="R9">
        <f t="shared" si="0"/>
        <v>120</v>
      </c>
      <c r="S9">
        <f t="shared" si="0"/>
        <v>128</v>
      </c>
      <c r="T9">
        <f t="shared" si="0"/>
        <v>136</v>
      </c>
    </row>
    <row r="10" spans="2:20" ht="19.5" x14ac:dyDescent="0.45">
      <c r="C10" s="27">
        <v>10</v>
      </c>
      <c r="D10">
        <f>C$10*D$5</f>
        <v>10</v>
      </c>
      <c r="E10">
        <f t="shared" si="1"/>
        <v>20</v>
      </c>
      <c r="F10">
        <f t="shared" si="0"/>
        <v>30</v>
      </c>
      <c r="G10">
        <f t="shared" si="0"/>
        <v>40</v>
      </c>
      <c r="H10">
        <f t="shared" si="0"/>
        <v>50</v>
      </c>
      <c r="I10">
        <f t="shared" si="0"/>
        <v>60</v>
      </c>
      <c r="J10">
        <f t="shared" si="0"/>
        <v>70</v>
      </c>
      <c r="K10">
        <f t="shared" si="0"/>
        <v>80</v>
      </c>
      <c r="L10">
        <f t="shared" si="0"/>
        <v>90</v>
      </c>
      <c r="M10">
        <f t="shared" si="0"/>
        <v>100</v>
      </c>
      <c r="N10">
        <f t="shared" si="0"/>
        <v>110</v>
      </c>
      <c r="O10">
        <f t="shared" si="0"/>
        <v>120</v>
      </c>
      <c r="P10">
        <f t="shared" si="0"/>
        <v>130</v>
      </c>
      <c r="Q10">
        <f t="shared" si="0"/>
        <v>140</v>
      </c>
      <c r="R10">
        <f t="shared" si="0"/>
        <v>150</v>
      </c>
      <c r="S10">
        <f t="shared" si="0"/>
        <v>160</v>
      </c>
      <c r="T10">
        <f t="shared" si="0"/>
        <v>170</v>
      </c>
    </row>
    <row r="11" spans="2:20" ht="19.5" x14ac:dyDescent="0.45">
      <c r="C11" s="27">
        <v>12</v>
      </c>
      <c r="D11">
        <f>C$11*D$5</f>
        <v>12</v>
      </c>
      <c r="E11">
        <f t="shared" si="1"/>
        <v>24</v>
      </c>
      <c r="F11">
        <f t="shared" si="0"/>
        <v>36</v>
      </c>
      <c r="G11">
        <f t="shared" si="0"/>
        <v>48</v>
      </c>
      <c r="H11">
        <f t="shared" si="0"/>
        <v>60</v>
      </c>
      <c r="I11">
        <f t="shared" si="0"/>
        <v>72</v>
      </c>
      <c r="J11">
        <f t="shared" si="0"/>
        <v>84</v>
      </c>
      <c r="K11">
        <f t="shared" si="0"/>
        <v>96</v>
      </c>
      <c r="L11">
        <f t="shared" si="0"/>
        <v>108</v>
      </c>
      <c r="M11">
        <f t="shared" si="0"/>
        <v>120</v>
      </c>
      <c r="N11">
        <f t="shared" si="0"/>
        <v>132</v>
      </c>
      <c r="O11">
        <f t="shared" si="0"/>
        <v>144</v>
      </c>
      <c r="P11">
        <f t="shared" si="0"/>
        <v>156</v>
      </c>
      <c r="Q11">
        <f t="shared" si="0"/>
        <v>168</v>
      </c>
      <c r="R11">
        <f t="shared" si="0"/>
        <v>180</v>
      </c>
      <c r="S11">
        <f t="shared" si="0"/>
        <v>192</v>
      </c>
      <c r="T11">
        <f t="shared" si="0"/>
        <v>204</v>
      </c>
    </row>
    <row r="12" spans="2:20" ht="19.5" x14ac:dyDescent="0.45">
      <c r="C12" s="27">
        <v>14</v>
      </c>
      <c r="D12">
        <f>C$12*D$5</f>
        <v>14</v>
      </c>
      <c r="E12">
        <f t="shared" si="1"/>
        <v>28</v>
      </c>
      <c r="F12">
        <f t="shared" si="0"/>
        <v>42</v>
      </c>
      <c r="G12">
        <f t="shared" si="0"/>
        <v>56</v>
      </c>
      <c r="H12">
        <f t="shared" si="0"/>
        <v>70</v>
      </c>
      <c r="I12">
        <f t="shared" si="0"/>
        <v>84</v>
      </c>
      <c r="J12">
        <f t="shared" si="0"/>
        <v>98</v>
      </c>
      <c r="K12">
        <f t="shared" si="0"/>
        <v>112</v>
      </c>
      <c r="L12">
        <f t="shared" si="0"/>
        <v>126</v>
      </c>
      <c r="M12">
        <f t="shared" si="0"/>
        <v>140</v>
      </c>
      <c r="N12">
        <f t="shared" si="0"/>
        <v>154</v>
      </c>
      <c r="O12">
        <f t="shared" si="0"/>
        <v>168</v>
      </c>
      <c r="P12">
        <f t="shared" si="0"/>
        <v>182</v>
      </c>
      <c r="Q12">
        <f t="shared" si="0"/>
        <v>196</v>
      </c>
      <c r="R12">
        <f t="shared" si="0"/>
        <v>210</v>
      </c>
      <c r="S12">
        <f t="shared" si="0"/>
        <v>224</v>
      </c>
      <c r="T12">
        <f t="shared" si="0"/>
        <v>238</v>
      </c>
    </row>
    <row r="13" spans="2:20" ht="19.5" x14ac:dyDescent="0.45">
      <c r="C13" s="27">
        <v>16</v>
      </c>
      <c r="D13">
        <f>C$13*D$5</f>
        <v>16</v>
      </c>
      <c r="E13">
        <f t="shared" si="1"/>
        <v>32</v>
      </c>
      <c r="F13">
        <f t="shared" si="0"/>
        <v>48</v>
      </c>
      <c r="G13">
        <f t="shared" si="0"/>
        <v>64</v>
      </c>
      <c r="H13">
        <f t="shared" si="0"/>
        <v>80</v>
      </c>
      <c r="I13">
        <f t="shared" si="0"/>
        <v>96</v>
      </c>
      <c r="J13">
        <f t="shared" si="0"/>
        <v>112</v>
      </c>
      <c r="K13">
        <f t="shared" si="0"/>
        <v>128</v>
      </c>
      <c r="L13">
        <f t="shared" si="0"/>
        <v>144</v>
      </c>
      <c r="M13">
        <f t="shared" si="0"/>
        <v>160</v>
      </c>
      <c r="N13">
        <f t="shared" si="0"/>
        <v>176</v>
      </c>
      <c r="O13">
        <f t="shared" si="0"/>
        <v>192</v>
      </c>
      <c r="P13">
        <f t="shared" si="0"/>
        <v>208</v>
      </c>
      <c r="Q13">
        <f t="shared" si="0"/>
        <v>224</v>
      </c>
      <c r="R13">
        <f t="shared" si="0"/>
        <v>240</v>
      </c>
      <c r="S13">
        <f t="shared" si="0"/>
        <v>256</v>
      </c>
      <c r="T13">
        <f t="shared" si="0"/>
        <v>272</v>
      </c>
    </row>
    <row r="14" spans="2:20" ht="19.5" x14ac:dyDescent="0.45">
      <c r="C14" s="27">
        <v>18</v>
      </c>
      <c r="D14">
        <f>C$14*D$5</f>
        <v>18</v>
      </c>
      <c r="E14">
        <f t="shared" si="1"/>
        <v>36</v>
      </c>
      <c r="F14">
        <f t="shared" si="0"/>
        <v>54</v>
      </c>
      <c r="G14">
        <f t="shared" si="0"/>
        <v>72</v>
      </c>
      <c r="H14">
        <f t="shared" si="0"/>
        <v>90</v>
      </c>
      <c r="I14">
        <f t="shared" si="0"/>
        <v>108</v>
      </c>
      <c r="J14">
        <f t="shared" si="0"/>
        <v>126</v>
      </c>
      <c r="K14">
        <f t="shared" si="0"/>
        <v>144</v>
      </c>
      <c r="L14">
        <f t="shared" si="0"/>
        <v>162</v>
      </c>
      <c r="M14">
        <f t="shared" si="0"/>
        <v>180</v>
      </c>
      <c r="N14">
        <f t="shared" si="0"/>
        <v>198</v>
      </c>
      <c r="O14">
        <f t="shared" si="0"/>
        <v>216</v>
      </c>
      <c r="P14">
        <f t="shared" si="0"/>
        <v>234</v>
      </c>
      <c r="Q14">
        <f t="shared" si="0"/>
        <v>252</v>
      </c>
      <c r="R14">
        <f t="shared" si="0"/>
        <v>270</v>
      </c>
      <c r="S14">
        <f t="shared" si="0"/>
        <v>288</v>
      </c>
      <c r="T14">
        <f t="shared" si="0"/>
        <v>306</v>
      </c>
    </row>
    <row r="16" spans="2:20" ht="18.5" x14ac:dyDescent="0.45">
      <c r="C16" s="29" t="s">
        <v>28</v>
      </c>
      <c r="D16" s="29"/>
      <c r="E16" s="29"/>
      <c r="F16" s="29"/>
      <c r="G16" s="29"/>
      <c r="H16" s="29"/>
      <c r="I16" s="29"/>
      <c r="J16" s="29"/>
      <c r="K16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E2DB-7A21-48E2-B539-5892ABABC170}">
  <dimension ref="A1:N14"/>
  <sheetViews>
    <sheetView workbookViewId="0">
      <selection activeCell="G13" sqref="G13"/>
    </sheetView>
  </sheetViews>
  <sheetFormatPr defaultRowHeight="14.5" x14ac:dyDescent="0.35"/>
  <cols>
    <col min="2" max="2" width="24.26953125" customWidth="1"/>
    <col min="3" max="3" width="24.1796875" customWidth="1"/>
    <col min="4" max="4" width="26.7265625" customWidth="1"/>
    <col min="5" max="5" width="29.81640625" customWidth="1"/>
    <col min="6" max="6" width="12.90625" customWidth="1"/>
  </cols>
  <sheetData>
    <row r="1" spans="1:14" ht="31" x14ac:dyDescent="0.7">
      <c r="A1" s="30"/>
      <c r="B1" s="30"/>
      <c r="C1" s="31" t="s">
        <v>29</v>
      </c>
      <c r="D1" s="31"/>
      <c r="E1" s="31"/>
      <c r="F1" s="32"/>
    </row>
    <row r="2" spans="1:14" ht="19.5" x14ac:dyDescent="0.45">
      <c r="H2" s="28" t="s">
        <v>30</v>
      </c>
      <c r="I2" s="28"/>
      <c r="J2" s="28"/>
      <c r="K2" s="28"/>
      <c r="L2" s="28"/>
      <c r="M2" s="28"/>
      <c r="N2" s="28"/>
    </row>
    <row r="3" spans="1:14" ht="21" x14ac:dyDescent="0.5">
      <c r="A3" s="33"/>
      <c r="B3" s="44" t="s">
        <v>23</v>
      </c>
      <c r="C3" s="44" t="s">
        <v>31</v>
      </c>
      <c r="D3" s="44" t="s">
        <v>12</v>
      </c>
      <c r="E3" s="44" t="s">
        <v>13</v>
      </c>
      <c r="F3" s="33"/>
      <c r="G3" s="33"/>
      <c r="H3" s="33"/>
    </row>
    <row r="4" spans="1:14" ht="21" x14ac:dyDescent="0.5">
      <c r="A4" s="33"/>
      <c r="B4" s="36" t="s">
        <v>14</v>
      </c>
      <c r="C4" s="36">
        <v>144</v>
      </c>
      <c r="D4" s="36">
        <f>Table6[[#This Row],[TOTAL SALES]]/Table6[[#This Row],[QUANTITY SOLD]]</f>
        <v>55</v>
      </c>
      <c r="E4" s="36">
        <v>7920</v>
      </c>
      <c r="F4" s="33"/>
      <c r="G4" s="33"/>
      <c r="H4" s="33"/>
    </row>
    <row r="5" spans="1:14" ht="21" x14ac:dyDescent="0.5">
      <c r="A5" s="33"/>
      <c r="B5" s="37" t="s">
        <v>15</v>
      </c>
      <c r="C5" s="37">
        <v>133</v>
      </c>
      <c r="D5" s="37">
        <f>Table6[[#This Row],[TOTAL SALES]]/Table6[[#This Row],[QUANTITY SOLD]]</f>
        <v>64</v>
      </c>
      <c r="E5" s="37">
        <v>8512</v>
      </c>
      <c r="F5" s="33"/>
      <c r="G5" s="33"/>
      <c r="H5" s="33"/>
    </row>
    <row r="6" spans="1:14" ht="21" x14ac:dyDescent="0.5">
      <c r="A6" s="33"/>
      <c r="B6" s="36" t="s">
        <v>16</v>
      </c>
      <c r="C6" s="36">
        <v>90</v>
      </c>
      <c r="D6" s="36">
        <f>Table6[[#This Row],[TOTAL SALES]]/Table6[[#This Row],[QUANTITY SOLD]]</f>
        <v>49</v>
      </c>
      <c r="E6" s="36">
        <v>4410</v>
      </c>
      <c r="F6" s="33"/>
      <c r="G6" s="33"/>
      <c r="H6" s="33"/>
    </row>
    <row r="7" spans="1:14" ht="21" x14ac:dyDescent="0.5">
      <c r="A7" s="33"/>
      <c r="B7" s="37" t="s">
        <v>17</v>
      </c>
      <c r="C7" s="37">
        <v>140</v>
      </c>
      <c r="D7" s="37">
        <f>Table6[[#This Row],[TOTAL SALES]]/Table6[[#This Row],[QUANTITY SOLD]]</f>
        <v>53</v>
      </c>
      <c r="E7" s="37">
        <v>7420</v>
      </c>
      <c r="F7" s="33"/>
      <c r="G7" s="33"/>
      <c r="H7" s="33"/>
    </row>
    <row r="8" spans="1:14" ht="21" x14ac:dyDescent="0.5">
      <c r="A8" s="33"/>
      <c r="B8" s="36" t="s">
        <v>18</v>
      </c>
      <c r="C8" s="36">
        <v>101</v>
      </c>
      <c r="D8" s="36">
        <f>Table6[[#This Row],[TOTAL SALES]]/Table6[[#This Row],[QUANTITY SOLD]]</f>
        <v>64</v>
      </c>
      <c r="E8" s="36">
        <v>6464</v>
      </c>
      <c r="F8" s="33"/>
      <c r="G8" s="33"/>
      <c r="H8" s="33"/>
    </row>
    <row r="9" spans="1:14" ht="21" x14ac:dyDescent="0.5">
      <c r="A9" s="33"/>
      <c r="B9" s="37" t="s">
        <v>19</v>
      </c>
      <c r="C9" s="37">
        <v>97</v>
      </c>
      <c r="D9" s="37">
        <f>Table6[[#This Row],[TOTAL SALES]]/Table6[[#This Row],[QUANTITY SOLD]]</f>
        <v>51</v>
      </c>
      <c r="E9" s="37">
        <v>4947</v>
      </c>
      <c r="F9" s="33"/>
      <c r="G9" s="33"/>
      <c r="H9" s="33"/>
    </row>
    <row r="10" spans="1:14" ht="21" x14ac:dyDescent="0.5">
      <c r="A10" s="33"/>
      <c r="B10" s="36" t="s">
        <v>20</v>
      </c>
      <c r="C10" s="36">
        <v>64</v>
      </c>
      <c r="D10" s="36">
        <f>Table6[[#This Row],[TOTAL SALES]]/Table6[[#This Row],[QUANTITY SOLD]]</f>
        <v>50</v>
      </c>
      <c r="E10" s="36">
        <v>3200</v>
      </c>
      <c r="F10" s="33"/>
      <c r="G10" s="33"/>
      <c r="H10" s="33"/>
    </row>
    <row r="11" spans="1:14" ht="21" x14ac:dyDescent="0.5">
      <c r="A11" s="33"/>
      <c r="B11" s="33"/>
      <c r="C11" s="33"/>
      <c r="D11" s="33"/>
      <c r="E11" s="33"/>
      <c r="F11" s="33"/>
      <c r="G11" s="33"/>
      <c r="H11" s="33"/>
    </row>
    <row r="12" spans="1:14" ht="31" x14ac:dyDescent="0.7">
      <c r="A12" s="21" t="s">
        <v>32</v>
      </c>
      <c r="B12" s="21" t="s">
        <v>67</v>
      </c>
      <c r="C12" s="21"/>
      <c r="D12" s="21"/>
      <c r="E12" s="21"/>
      <c r="F12" s="34">
        <f>SUM(Table6[PRICE])</f>
        <v>386</v>
      </c>
      <c r="G12" s="34"/>
      <c r="H12" s="33"/>
    </row>
    <row r="13" spans="1:14" ht="31" x14ac:dyDescent="0.7">
      <c r="A13" s="21" t="s">
        <v>33</v>
      </c>
      <c r="B13" s="21" t="s">
        <v>34</v>
      </c>
      <c r="C13" s="21"/>
      <c r="D13" s="21"/>
      <c r="E13" s="21"/>
      <c r="F13" s="35">
        <f>AVERAGE(Table6[PRICE])</f>
        <v>55.142857142857146</v>
      </c>
      <c r="G13" s="35"/>
      <c r="H13" s="33"/>
    </row>
    <row r="14" spans="1:14" ht="21" x14ac:dyDescent="0.5">
      <c r="A14" s="33"/>
      <c r="B14" s="33"/>
      <c r="C14" s="33"/>
      <c r="D14" s="33"/>
      <c r="E14" s="33"/>
      <c r="F14" s="33"/>
      <c r="G14" s="33"/>
      <c r="H14" s="3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Conditional Formatting</vt:lpstr>
      <vt:lpstr>Sum,Average &amp; Count</vt:lpstr>
      <vt:lpstr>Relative Referencing</vt:lpstr>
      <vt:lpstr>Absolute Referencing</vt:lpstr>
      <vt:lpstr>Mixed Referencing</vt:lpstr>
      <vt:lpstr>Structural Referencing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 Omonfoman</dc:creator>
  <cp:lastModifiedBy>USER</cp:lastModifiedBy>
  <dcterms:created xsi:type="dcterms:W3CDTF">2025-07-17T23:24:51Z</dcterms:created>
  <dcterms:modified xsi:type="dcterms:W3CDTF">2025-08-15T10:22:43Z</dcterms:modified>
</cp:coreProperties>
</file>